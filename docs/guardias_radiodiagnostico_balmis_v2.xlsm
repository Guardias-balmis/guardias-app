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8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ownloads/"/>
    </mc:Choice>
  </mc:AlternateContent>
  <xr:revisionPtr revIDLastSave="0" documentId="13_ncr:1_{898EE231-3E74-9B40-98B9-A1D3E8C44E36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Cuadrante Anual" sheetId="22" r:id="rId1"/>
    <sheet name="Residentes" sheetId="8" r:id="rId2"/>
    <sheet name="Resumen Anual" sheetId="3" r:id="rId3"/>
    <sheet name="Contaje Trimestral" sheetId="4" r:id="rId4"/>
    <sheet name="Tercer Puesto" sheetId="5" r:id="rId5"/>
    <sheet name="Imaginaria" sheetId="6" r:id="rId6"/>
    <sheet name="Instrucciones" sheetId="7" r:id="rId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9" i="4" l="1"/>
  <c r="O8" i="4"/>
  <c r="V7" i="4"/>
  <c r="I5" i="4"/>
  <c r="B215" i="22"/>
  <c r="C215" i="22"/>
  <c r="D215" i="22"/>
  <c r="E215" i="22"/>
  <c r="F215" i="22"/>
  <c r="B216" i="22"/>
  <c r="C216" i="22"/>
  <c r="D216" i="22"/>
  <c r="E216" i="22"/>
  <c r="F216" i="22"/>
  <c r="B217" i="22"/>
  <c r="C217" i="22"/>
  <c r="D217" i="22"/>
  <c r="E217" i="22"/>
  <c r="F217" i="22"/>
  <c r="B218" i="22"/>
  <c r="C218" i="22"/>
  <c r="D218" i="22"/>
  <c r="E218" i="22"/>
  <c r="F218" i="22"/>
  <c r="B219" i="22"/>
  <c r="C219" i="22"/>
  <c r="D219" i="22"/>
  <c r="E219" i="22"/>
  <c r="F219" i="22"/>
  <c r="B220" i="22"/>
  <c r="C220" i="22"/>
  <c r="D220" i="22"/>
  <c r="E220" i="22"/>
  <c r="F220" i="22"/>
  <c r="B221" i="22"/>
  <c r="C221" i="22"/>
  <c r="D221" i="22"/>
  <c r="E221" i="22"/>
  <c r="F221" i="22"/>
  <c r="B222" i="22"/>
  <c r="C222" i="22"/>
  <c r="D222" i="22"/>
  <c r="E222" i="22"/>
  <c r="F222" i="22"/>
  <c r="B223" i="22"/>
  <c r="C223" i="22"/>
  <c r="D223" i="22"/>
  <c r="E223" i="22"/>
  <c r="F223" i="22"/>
  <c r="B224" i="22"/>
  <c r="C224" i="22"/>
  <c r="D224" i="22"/>
  <c r="E224" i="22"/>
  <c r="F224" i="22"/>
  <c r="B225" i="22"/>
  <c r="C225" i="22"/>
  <c r="D225" i="22"/>
  <c r="E225" i="22"/>
  <c r="F225" i="22"/>
  <c r="B226" i="22"/>
  <c r="C226" i="22"/>
  <c r="D226" i="22"/>
  <c r="E226" i="22"/>
  <c r="F226" i="22"/>
  <c r="B227" i="22"/>
  <c r="C227" i="22"/>
  <c r="D227" i="22"/>
  <c r="E227" i="22"/>
  <c r="F227" i="22"/>
  <c r="B228" i="22"/>
  <c r="C228" i="22"/>
  <c r="D228" i="22"/>
  <c r="E228" i="22"/>
  <c r="F228" i="22"/>
  <c r="B229" i="22"/>
  <c r="C229" i="22"/>
  <c r="D229" i="22"/>
  <c r="E229" i="22"/>
  <c r="F229" i="22"/>
  <c r="I214" i="22"/>
  <c r="H215" i="22" s="1" a="1"/>
  <c r="H215" i="22" s="1"/>
  <c r="J214" i="22"/>
  <c r="K214" i="22"/>
  <c r="G229" i="22" s="1" a="1"/>
  <c r="G229" i="22" s="1"/>
  <c r="L214" i="22"/>
  <c r="M214" i="22"/>
  <c r="N214" i="22"/>
  <c r="O214" i="22"/>
  <c r="P214" i="22"/>
  <c r="Q214" i="22"/>
  <c r="R214" i="22"/>
  <c r="S214" i="22"/>
  <c r="T214" i="22"/>
  <c r="U214" i="22"/>
  <c r="V214" i="22"/>
  <c r="W214" i="22"/>
  <c r="X214" i="22"/>
  <c r="Y214" i="22"/>
  <c r="Z214" i="22"/>
  <c r="AA214" i="22"/>
  <c r="AB214" i="22"/>
  <c r="AC214" i="22"/>
  <c r="AD214" i="22"/>
  <c r="AE214" i="22"/>
  <c r="AF214" i="22"/>
  <c r="AG214" i="22"/>
  <c r="AH214" i="22"/>
  <c r="AI214" i="22"/>
  <c r="AJ214" i="22"/>
  <c r="AK214" i="22"/>
  <c r="AL214" i="22"/>
  <c r="AM214" i="22"/>
  <c r="I213" i="22"/>
  <c r="J213" i="22"/>
  <c r="K213" i="22"/>
  <c r="L213" i="22"/>
  <c r="M213" i="22"/>
  <c r="N213" i="22"/>
  <c r="O213" i="22"/>
  <c r="P213" i="22"/>
  <c r="Q213" i="22"/>
  <c r="R213" i="22"/>
  <c r="S213" i="22"/>
  <c r="T213" i="22"/>
  <c r="U213" i="22"/>
  <c r="V213" i="22"/>
  <c r="W213" i="22"/>
  <c r="X213" i="22"/>
  <c r="Y213" i="22"/>
  <c r="Z213" i="22"/>
  <c r="AA213" i="22"/>
  <c r="AB213" i="22"/>
  <c r="AC213" i="22"/>
  <c r="AD213" i="22"/>
  <c r="AE213" i="22"/>
  <c r="AF213" i="22"/>
  <c r="AG213" i="22"/>
  <c r="AH213" i="22"/>
  <c r="AI213" i="22"/>
  <c r="AJ213" i="22"/>
  <c r="AK213" i="22"/>
  <c r="AL213" i="22"/>
  <c r="AM213" i="22"/>
  <c r="B196" i="22"/>
  <c r="C196" i="22"/>
  <c r="U5" i="4" s="1"/>
  <c r="D196" i="22"/>
  <c r="V5" i="4" s="1"/>
  <c r="E196" i="22"/>
  <c r="F196" i="22"/>
  <c r="B197" i="22"/>
  <c r="C197" i="22"/>
  <c r="D197" i="22"/>
  <c r="E197" i="22"/>
  <c r="F197" i="22"/>
  <c r="W6" i="4" s="1"/>
  <c r="B198" i="22"/>
  <c r="C198" i="22"/>
  <c r="D198" i="22"/>
  <c r="E198" i="22"/>
  <c r="F198" i="22"/>
  <c r="B199" i="22"/>
  <c r="C199" i="22"/>
  <c r="D199" i="22"/>
  <c r="V8" i="4" s="1"/>
  <c r="E199" i="22"/>
  <c r="Z8" i="4" s="1"/>
  <c r="F199" i="22"/>
  <c r="B200" i="22"/>
  <c r="C200" i="22"/>
  <c r="D200" i="22"/>
  <c r="E200" i="22"/>
  <c r="F200" i="22"/>
  <c r="B201" i="22"/>
  <c r="C201" i="22"/>
  <c r="U10" i="4" s="1"/>
  <c r="D201" i="22"/>
  <c r="E201" i="22"/>
  <c r="Z10" i="4" s="1"/>
  <c r="F201" i="22"/>
  <c r="B202" i="22"/>
  <c r="C202" i="22"/>
  <c r="D202" i="22"/>
  <c r="E202" i="22"/>
  <c r="F202" i="22"/>
  <c r="W11" i="4" s="1"/>
  <c r="B203" i="22"/>
  <c r="C203" i="22"/>
  <c r="D203" i="22"/>
  <c r="V12" i="4" s="1"/>
  <c r="E203" i="22"/>
  <c r="F203" i="22"/>
  <c r="B204" i="22"/>
  <c r="C204" i="22"/>
  <c r="D204" i="22"/>
  <c r="E204" i="22"/>
  <c r="F204" i="22"/>
  <c r="B205" i="22"/>
  <c r="C205" i="22"/>
  <c r="D205" i="22"/>
  <c r="E205" i="22"/>
  <c r="Z14" i="4" s="1"/>
  <c r="F205" i="22"/>
  <c r="B206" i="22"/>
  <c r="C206" i="22"/>
  <c r="D206" i="22"/>
  <c r="E206" i="22"/>
  <c r="F206" i="22"/>
  <c r="B207" i="22"/>
  <c r="C207" i="22"/>
  <c r="D207" i="22"/>
  <c r="V16" i="4" s="1"/>
  <c r="E207" i="22"/>
  <c r="F207" i="22"/>
  <c r="B208" i="22"/>
  <c r="C208" i="22"/>
  <c r="D208" i="22"/>
  <c r="E208" i="22"/>
  <c r="F208" i="22"/>
  <c r="B209" i="22"/>
  <c r="C209" i="22"/>
  <c r="D209" i="22"/>
  <c r="E209" i="22"/>
  <c r="F209" i="22"/>
  <c r="B210" i="22"/>
  <c r="C210" i="22"/>
  <c r="D210" i="22"/>
  <c r="E210" i="22"/>
  <c r="F210" i="22"/>
  <c r="I195" i="22"/>
  <c r="G208" i="22" s="1" a="1"/>
  <c r="G208" i="22" s="1"/>
  <c r="J195" i="22"/>
  <c r="K195" i="22"/>
  <c r="L195" i="22"/>
  <c r="M195" i="22"/>
  <c r="N195" i="22"/>
  <c r="O195" i="22"/>
  <c r="P195" i="22"/>
  <c r="Q195" i="22"/>
  <c r="R195" i="22"/>
  <c r="S195" i="22"/>
  <c r="T195" i="22"/>
  <c r="U195" i="22"/>
  <c r="V195" i="22"/>
  <c r="W195" i="22"/>
  <c r="X195" i="22"/>
  <c r="Y195" i="22"/>
  <c r="Z195" i="22"/>
  <c r="AA195" i="22"/>
  <c r="AB195" i="22"/>
  <c r="AC195" i="22"/>
  <c r="AD195" i="22"/>
  <c r="AE195" i="22"/>
  <c r="AF195" i="22"/>
  <c r="AG195" i="22"/>
  <c r="AH195" i="22"/>
  <c r="AI195" i="22"/>
  <c r="AJ195" i="22"/>
  <c r="AK195" i="22"/>
  <c r="AL195" i="22"/>
  <c r="AM195" i="22"/>
  <c r="I194" i="22"/>
  <c r="J194" i="22"/>
  <c r="K194" i="22"/>
  <c r="L194" i="22"/>
  <c r="M194" i="22"/>
  <c r="N194" i="22"/>
  <c r="O194" i="22"/>
  <c r="P194" i="22"/>
  <c r="Q194" i="22"/>
  <c r="R194" i="22"/>
  <c r="S194" i="22"/>
  <c r="T194" i="22"/>
  <c r="U194" i="22"/>
  <c r="V194" i="22"/>
  <c r="W194" i="22"/>
  <c r="X194" i="22"/>
  <c r="Y194" i="22"/>
  <c r="Z194" i="22"/>
  <c r="AA194" i="22"/>
  <c r="AB194" i="22"/>
  <c r="AC194" i="22"/>
  <c r="AD194" i="22"/>
  <c r="AE194" i="22"/>
  <c r="AF194" i="22"/>
  <c r="AG194" i="22"/>
  <c r="AH194" i="22"/>
  <c r="AI194" i="22"/>
  <c r="AJ194" i="22"/>
  <c r="AK194" i="22"/>
  <c r="AL194" i="22"/>
  <c r="AM194" i="22"/>
  <c r="B177" i="22"/>
  <c r="C177" i="22"/>
  <c r="D177" i="22"/>
  <c r="E177" i="22"/>
  <c r="F177" i="22"/>
  <c r="W5" i="4" s="1"/>
  <c r="B178" i="22"/>
  <c r="C178" i="22"/>
  <c r="U6" i="4" s="1"/>
  <c r="D178" i="22"/>
  <c r="V6" i="4" s="1"/>
  <c r="E178" i="22"/>
  <c r="Z6" i="4" s="1"/>
  <c r="F178" i="22"/>
  <c r="B179" i="22"/>
  <c r="C179" i="22"/>
  <c r="D179" i="22"/>
  <c r="E179" i="22"/>
  <c r="Z7" i="4" s="1"/>
  <c r="F179" i="22"/>
  <c r="W7" i="4" s="1"/>
  <c r="B180" i="22"/>
  <c r="C180" i="22"/>
  <c r="U8" i="4" s="1"/>
  <c r="D180" i="22"/>
  <c r="E180" i="22"/>
  <c r="F180" i="22"/>
  <c r="B181" i="22"/>
  <c r="C181" i="22"/>
  <c r="U9" i="4" s="1"/>
  <c r="D181" i="22"/>
  <c r="V9" i="4" s="1"/>
  <c r="E181" i="22"/>
  <c r="Z9" i="4" s="1"/>
  <c r="F181" i="22"/>
  <c r="W9" i="4" s="1"/>
  <c r="B182" i="22"/>
  <c r="C182" i="22"/>
  <c r="D182" i="22"/>
  <c r="E182" i="22"/>
  <c r="F182" i="22"/>
  <c r="W10" i="4" s="1"/>
  <c r="B183" i="22"/>
  <c r="C183" i="22"/>
  <c r="U11" i="4" s="1"/>
  <c r="D183" i="22"/>
  <c r="V11" i="4" s="1"/>
  <c r="E183" i="22"/>
  <c r="Z11" i="4" s="1"/>
  <c r="F183" i="22"/>
  <c r="B184" i="22"/>
  <c r="C184" i="22"/>
  <c r="U12" i="4" s="1"/>
  <c r="D184" i="22"/>
  <c r="E184" i="22"/>
  <c r="Z12" i="4" s="1"/>
  <c r="F184" i="22"/>
  <c r="W12" i="4" s="1"/>
  <c r="B185" i="22"/>
  <c r="C185" i="22"/>
  <c r="U13" i="4" s="1"/>
  <c r="D185" i="22"/>
  <c r="V13" i="4" s="1"/>
  <c r="E185" i="22"/>
  <c r="F185" i="22"/>
  <c r="W13" i="4" s="1"/>
  <c r="B186" i="22"/>
  <c r="C186" i="22"/>
  <c r="U14" i="4" s="1"/>
  <c r="D186" i="22"/>
  <c r="V14" i="4" s="1"/>
  <c r="E186" i="22"/>
  <c r="F186" i="22"/>
  <c r="W14" i="4" s="1"/>
  <c r="B187" i="22"/>
  <c r="C187" i="22"/>
  <c r="D187" i="22"/>
  <c r="V15" i="4" s="1"/>
  <c r="E187" i="22"/>
  <c r="Z15" i="4" s="1"/>
  <c r="F187" i="22"/>
  <c r="W15" i="4" s="1"/>
  <c r="B188" i="22"/>
  <c r="C188" i="22"/>
  <c r="U16" i="4" s="1"/>
  <c r="D188" i="22"/>
  <c r="E188" i="22"/>
  <c r="Z16" i="4" s="1"/>
  <c r="F188" i="22"/>
  <c r="B189" i="22"/>
  <c r="C189" i="22"/>
  <c r="U17" i="4" s="1"/>
  <c r="D189" i="22"/>
  <c r="V17" i="4" s="1"/>
  <c r="E189" i="22"/>
  <c r="Z17" i="4" s="1"/>
  <c r="F189" i="22"/>
  <c r="W17" i="4" s="1"/>
  <c r="B190" i="22"/>
  <c r="C190" i="22"/>
  <c r="U18" i="4" s="1"/>
  <c r="D190" i="22"/>
  <c r="E190" i="22"/>
  <c r="Z18" i="4" s="1"/>
  <c r="F190" i="22"/>
  <c r="W18" i="4" s="1"/>
  <c r="B191" i="22"/>
  <c r="C191" i="22"/>
  <c r="U19" i="4" s="1"/>
  <c r="D191" i="22"/>
  <c r="V19" i="4" s="1"/>
  <c r="E191" i="22"/>
  <c r="Z19" i="4" s="1"/>
  <c r="F191" i="22"/>
  <c r="W19" i="4" s="1"/>
  <c r="I176" i="22"/>
  <c r="H177" i="22" s="1" a="1"/>
  <c r="H177" i="22" s="1"/>
  <c r="J176" i="22"/>
  <c r="K176" i="22"/>
  <c r="H179" i="22" s="1" a="1"/>
  <c r="H179" i="22" s="1"/>
  <c r="L176" i="22"/>
  <c r="M176" i="22"/>
  <c r="H182" i="22" s="1" a="1"/>
  <c r="H182" i="22" s="1"/>
  <c r="N176" i="22"/>
  <c r="O176" i="22"/>
  <c r="H183" i="22" s="1" a="1"/>
  <c r="H183" i="22" s="1"/>
  <c r="P176" i="22"/>
  <c r="Q176" i="22"/>
  <c r="R176" i="22"/>
  <c r="S176" i="22"/>
  <c r="T176" i="22"/>
  <c r="U176" i="22"/>
  <c r="V176" i="22"/>
  <c r="W176" i="22"/>
  <c r="X176" i="22"/>
  <c r="Y176" i="22"/>
  <c r="Z176" i="22"/>
  <c r="AA176" i="22"/>
  <c r="AB176" i="22"/>
  <c r="AC176" i="22"/>
  <c r="AD176" i="22"/>
  <c r="AE176" i="22"/>
  <c r="AF176" i="22"/>
  <c r="AG176" i="22"/>
  <c r="AH176" i="22"/>
  <c r="AI176" i="22"/>
  <c r="AJ176" i="22"/>
  <c r="AK176" i="22"/>
  <c r="AL176" i="22"/>
  <c r="AM176" i="22"/>
  <c r="I175" i="22"/>
  <c r="J175" i="22"/>
  <c r="K175" i="22"/>
  <c r="L175" i="22"/>
  <c r="M175" i="22"/>
  <c r="N175" i="22"/>
  <c r="O175" i="22"/>
  <c r="P175" i="22"/>
  <c r="Q175" i="22"/>
  <c r="R175" i="22"/>
  <c r="S175" i="22"/>
  <c r="T175" i="22"/>
  <c r="U175" i="22"/>
  <c r="V175" i="22"/>
  <c r="W175" i="22"/>
  <c r="X175" i="22"/>
  <c r="Y175" i="22"/>
  <c r="Z175" i="22"/>
  <c r="AA175" i="22"/>
  <c r="AB175" i="22"/>
  <c r="AC175" i="22"/>
  <c r="AD175" i="22"/>
  <c r="AE175" i="22"/>
  <c r="AF175" i="22"/>
  <c r="AG175" i="22"/>
  <c r="AH175" i="22"/>
  <c r="AI175" i="22"/>
  <c r="AJ175" i="22"/>
  <c r="AK175" i="22"/>
  <c r="AL175" i="22"/>
  <c r="AM175" i="22"/>
  <c r="B158" i="22"/>
  <c r="C158" i="22"/>
  <c r="O5" i="4" s="1"/>
  <c r="D158" i="22"/>
  <c r="E158" i="22"/>
  <c r="F158" i="22"/>
  <c r="B159" i="22"/>
  <c r="C159" i="22"/>
  <c r="O6" i="4" s="1"/>
  <c r="D159" i="22"/>
  <c r="P6" i="4" s="1"/>
  <c r="E159" i="22"/>
  <c r="F159" i="22"/>
  <c r="B160" i="22"/>
  <c r="C160" i="22"/>
  <c r="D160" i="22"/>
  <c r="E160" i="22"/>
  <c r="F160" i="22"/>
  <c r="B161" i="22"/>
  <c r="C161" i="22"/>
  <c r="D161" i="22"/>
  <c r="E161" i="22"/>
  <c r="F161" i="22"/>
  <c r="B162" i="22"/>
  <c r="C162" i="22"/>
  <c r="D162" i="22"/>
  <c r="E162" i="22"/>
  <c r="F162" i="22"/>
  <c r="B163" i="22"/>
  <c r="C163" i="22"/>
  <c r="D163" i="22"/>
  <c r="E163" i="22"/>
  <c r="F163" i="22"/>
  <c r="B164" i="22"/>
  <c r="C164" i="22"/>
  <c r="D164" i="22"/>
  <c r="E164" i="22"/>
  <c r="F164" i="22"/>
  <c r="B165" i="22"/>
  <c r="C165" i="22"/>
  <c r="D165" i="22"/>
  <c r="E165" i="22"/>
  <c r="T12" i="4" s="1"/>
  <c r="F165" i="22"/>
  <c r="B166" i="22"/>
  <c r="C166" i="22"/>
  <c r="D166" i="22"/>
  <c r="E166" i="22"/>
  <c r="F166" i="22"/>
  <c r="B167" i="22"/>
  <c r="C167" i="22"/>
  <c r="O14" i="4" s="1"/>
  <c r="D167" i="22"/>
  <c r="E167" i="22"/>
  <c r="F167" i="22"/>
  <c r="B168" i="22"/>
  <c r="C168" i="22"/>
  <c r="D168" i="22"/>
  <c r="E168" i="22"/>
  <c r="F168" i="22"/>
  <c r="B169" i="22"/>
  <c r="C169" i="22"/>
  <c r="D169" i="22"/>
  <c r="E169" i="22"/>
  <c r="F169" i="22"/>
  <c r="B170" i="22"/>
  <c r="C170" i="22"/>
  <c r="D170" i="22"/>
  <c r="E170" i="22"/>
  <c r="F170" i="22"/>
  <c r="B171" i="22"/>
  <c r="C171" i="22"/>
  <c r="D171" i="22"/>
  <c r="E171" i="22"/>
  <c r="F171" i="22"/>
  <c r="B172" i="22"/>
  <c r="C172" i="22"/>
  <c r="D172" i="22"/>
  <c r="E172" i="22"/>
  <c r="F172" i="22"/>
  <c r="I157" i="22"/>
  <c r="G158" i="22" s="1" a="1"/>
  <c r="G158" i="22" s="1"/>
  <c r="J157" i="22"/>
  <c r="K157" i="22"/>
  <c r="L157" i="22"/>
  <c r="M157" i="22"/>
  <c r="N157" i="22"/>
  <c r="O157" i="22"/>
  <c r="P157" i="22"/>
  <c r="Q157" i="22"/>
  <c r="R157" i="22"/>
  <c r="S157" i="22"/>
  <c r="T157" i="22"/>
  <c r="U157" i="22"/>
  <c r="V157" i="22"/>
  <c r="W157" i="22"/>
  <c r="X157" i="22"/>
  <c r="Y157" i="22"/>
  <c r="Z157" i="22"/>
  <c r="AA157" i="22"/>
  <c r="AB157" i="22"/>
  <c r="AC157" i="22"/>
  <c r="AD157" i="22"/>
  <c r="AE157" i="22"/>
  <c r="AF157" i="22"/>
  <c r="AG157" i="22"/>
  <c r="AH157" i="22"/>
  <c r="AI157" i="22"/>
  <c r="AJ157" i="22"/>
  <c r="AK157" i="22"/>
  <c r="AL157" i="22"/>
  <c r="AM157" i="22"/>
  <c r="I156" i="22"/>
  <c r="J156" i="22"/>
  <c r="K156" i="22"/>
  <c r="L156" i="22"/>
  <c r="M156" i="22"/>
  <c r="N156" i="22"/>
  <c r="O156" i="22"/>
  <c r="P156" i="22"/>
  <c r="Q156" i="22"/>
  <c r="R156" i="22"/>
  <c r="S156" i="22"/>
  <c r="T156" i="22"/>
  <c r="U156" i="22"/>
  <c r="V156" i="22"/>
  <c r="W156" i="22"/>
  <c r="X156" i="22"/>
  <c r="Y156" i="22"/>
  <c r="Z156" i="22"/>
  <c r="AA156" i="22"/>
  <c r="AB156" i="22"/>
  <c r="AC156" i="22"/>
  <c r="AD156" i="22"/>
  <c r="AE156" i="22"/>
  <c r="AF156" i="22"/>
  <c r="AG156" i="22"/>
  <c r="AH156" i="22"/>
  <c r="AI156" i="22"/>
  <c r="AJ156" i="22"/>
  <c r="AK156" i="22"/>
  <c r="AL156" i="22"/>
  <c r="AM156" i="22"/>
  <c r="B139" i="22"/>
  <c r="C139" i="22"/>
  <c r="D139" i="22"/>
  <c r="P5" i="4" s="1"/>
  <c r="E139" i="22"/>
  <c r="F139" i="22"/>
  <c r="B140" i="22"/>
  <c r="C140" i="22"/>
  <c r="D140" i="22"/>
  <c r="E140" i="22"/>
  <c r="T6" i="4" s="1"/>
  <c r="F140" i="22"/>
  <c r="B141" i="22"/>
  <c r="C141" i="22"/>
  <c r="D141" i="22"/>
  <c r="E141" i="22"/>
  <c r="T7" i="4" s="1"/>
  <c r="F141" i="22"/>
  <c r="B142" i="22"/>
  <c r="C142" i="22"/>
  <c r="D142" i="22"/>
  <c r="P8" i="4" s="1"/>
  <c r="E142" i="22"/>
  <c r="T8" i="4" s="1"/>
  <c r="F142" i="22"/>
  <c r="B143" i="22"/>
  <c r="C143" i="22"/>
  <c r="O9" i="4" s="1"/>
  <c r="D143" i="22"/>
  <c r="E143" i="22"/>
  <c r="T9" i="4" s="1"/>
  <c r="F143" i="22"/>
  <c r="B144" i="22"/>
  <c r="C144" i="22"/>
  <c r="O10" i="4" s="1"/>
  <c r="D144" i="22"/>
  <c r="E144" i="22"/>
  <c r="F144" i="22"/>
  <c r="Q10" i="4" s="1"/>
  <c r="B145" i="22"/>
  <c r="C145" i="22"/>
  <c r="D145" i="22"/>
  <c r="E145" i="22"/>
  <c r="T11" i="4" s="1"/>
  <c r="F145" i="22"/>
  <c r="B146" i="22"/>
  <c r="C146" i="22"/>
  <c r="D146" i="22"/>
  <c r="P12" i="4" s="1"/>
  <c r="E146" i="22"/>
  <c r="F146" i="22"/>
  <c r="B147" i="22"/>
  <c r="C147" i="22"/>
  <c r="D147" i="22"/>
  <c r="E147" i="22"/>
  <c r="F147" i="22"/>
  <c r="B148" i="22"/>
  <c r="C148" i="22"/>
  <c r="D148" i="22"/>
  <c r="E148" i="22"/>
  <c r="F148" i="22"/>
  <c r="B149" i="22"/>
  <c r="C149" i="22"/>
  <c r="D149" i="22"/>
  <c r="E149" i="22"/>
  <c r="T15" i="4" s="1"/>
  <c r="F149" i="22"/>
  <c r="B150" i="22"/>
  <c r="C150" i="22"/>
  <c r="D150" i="22"/>
  <c r="P16" i="4" s="1"/>
  <c r="E150" i="22"/>
  <c r="F150" i="22"/>
  <c r="B151" i="22"/>
  <c r="C151" i="22"/>
  <c r="D151" i="22"/>
  <c r="E151" i="22"/>
  <c r="F151" i="22"/>
  <c r="B152" i="22"/>
  <c r="C152" i="22"/>
  <c r="O18" i="4" s="1"/>
  <c r="D152" i="22"/>
  <c r="E152" i="22"/>
  <c r="F152" i="22"/>
  <c r="B153" i="22"/>
  <c r="C153" i="22"/>
  <c r="D153" i="22"/>
  <c r="E153" i="22"/>
  <c r="F153" i="22"/>
  <c r="G153" i="22" a="1"/>
  <c r="G153" i="22" s="1"/>
  <c r="I138" i="22"/>
  <c r="J138" i="22"/>
  <c r="K138" i="22"/>
  <c r="L138" i="22"/>
  <c r="M138" i="22"/>
  <c r="H153" i="22" s="1" a="1"/>
  <c r="H153" i="22" s="1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I137" i="22"/>
  <c r="J137" i="22"/>
  <c r="K137" i="22"/>
  <c r="L137" i="22"/>
  <c r="M137" i="22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B120" i="22"/>
  <c r="C120" i="22"/>
  <c r="D120" i="22"/>
  <c r="E120" i="22"/>
  <c r="T5" i="4" s="1"/>
  <c r="F120" i="22"/>
  <c r="B121" i="22"/>
  <c r="C121" i="22"/>
  <c r="D121" i="22"/>
  <c r="E121" i="22"/>
  <c r="F121" i="22"/>
  <c r="Q6" i="4" s="1"/>
  <c r="B122" i="22"/>
  <c r="C122" i="22"/>
  <c r="O7" i="4" s="1"/>
  <c r="D122" i="22"/>
  <c r="P7" i="4" s="1"/>
  <c r="E122" i="22"/>
  <c r="F122" i="22"/>
  <c r="B123" i="22"/>
  <c r="C123" i="22"/>
  <c r="D123" i="22"/>
  <c r="E123" i="22"/>
  <c r="F123" i="22"/>
  <c r="Q8" i="4" s="1"/>
  <c r="B124" i="22"/>
  <c r="C124" i="22"/>
  <c r="D124" i="22"/>
  <c r="E124" i="22"/>
  <c r="F124" i="22"/>
  <c r="Q9" i="4" s="1"/>
  <c r="B125" i="22"/>
  <c r="C125" i="22"/>
  <c r="D125" i="22"/>
  <c r="P10" i="4" s="1"/>
  <c r="E125" i="22"/>
  <c r="T10" i="4" s="1"/>
  <c r="F125" i="22"/>
  <c r="B126" i="22"/>
  <c r="C126" i="22"/>
  <c r="D126" i="22"/>
  <c r="P11" i="4" s="1"/>
  <c r="E126" i="22"/>
  <c r="F126" i="22"/>
  <c r="B127" i="22"/>
  <c r="C127" i="22"/>
  <c r="O12" i="4" s="1"/>
  <c r="D127" i="22"/>
  <c r="E127" i="22"/>
  <c r="F127" i="22"/>
  <c r="B128" i="22"/>
  <c r="C128" i="22"/>
  <c r="O13" i="4" s="1"/>
  <c r="D128" i="22"/>
  <c r="E128" i="22"/>
  <c r="T13" i="4" s="1"/>
  <c r="F128" i="22"/>
  <c r="Q13" i="4" s="1"/>
  <c r="B129" i="22"/>
  <c r="C129" i="22"/>
  <c r="D129" i="22"/>
  <c r="E129" i="22"/>
  <c r="T14" i="4" s="1"/>
  <c r="F129" i="22"/>
  <c r="Q14" i="4" s="1"/>
  <c r="B130" i="22"/>
  <c r="C130" i="22"/>
  <c r="O15" i="4" s="1"/>
  <c r="D130" i="22"/>
  <c r="P15" i="4" s="1"/>
  <c r="E130" i="22"/>
  <c r="F130" i="22"/>
  <c r="B131" i="22"/>
  <c r="C131" i="22"/>
  <c r="D131" i="22"/>
  <c r="E131" i="22"/>
  <c r="F131" i="22"/>
  <c r="Q16" i="4" s="1"/>
  <c r="B132" i="22"/>
  <c r="C132" i="22"/>
  <c r="D132" i="22"/>
  <c r="P17" i="4" s="1"/>
  <c r="E132" i="22"/>
  <c r="T17" i="4" s="1"/>
  <c r="F132" i="22"/>
  <c r="Q17" i="4" s="1"/>
  <c r="B133" i="22"/>
  <c r="C133" i="22"/>
  <c r="D133" i="22"/>
  <c r="P18" i="4" s="1"/>
  <c r="E133" i="22"/>
  <c r="T18" i="4" s="1"/>
  <c r="F133" i="22"/>
  <c r="B134" i="22"/>
  <c r="C134" i="22"/>
  <c r="O19" i="4" s="1"/>
  <c r="D134" i="22"/>
  <c r="P19" i="4" s="1"/>
  <c r="E134" i="22"/>
  <c r="T19" i="4" s="1"/>
  <c r="F134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H128" i="22" s="1" a="1"/>
  <c r="H128" i="22" s="1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B101" i="22"/>
  <c r="C101" i="22"/>
  <c r="D101" i="22"/>
  <c r="E101" i="22"/>
  <c r="F101" i="22"/>
  <c r="B102" i="22"/>
  <c r="C102" i="22"/>
  <c r="D102" i="22"/>
  <c r="E102" i="22"/>
  <c r="F102" i="22"/>
  <c r="B103" i="22"/>
  <c r="C103" i="22"/>
  <c r="D103" i="22"/>
  <c r="E103" i="22"/>
  <c r="F103" i="22"/>
  <c r="K7" i="4" s="1"/>
  <c r="B104" i="22"/>
  <c r="C104" i="22"/>
  <c r="I8" i="4" s="1"/>
  <c r="D104" i="22"/>
  <c r="E104" i="22"/>
  <c r="F104" i="22"/>
  <c r="K8" i="4" s="1"/>
  <c r="B105" i="22"/>
  <c r="C105" i="22"/>
  <c r="D105" i="22"/>
  <c r="E105" i="22"/>
  <c r="F105" i="22"/>
  <c r="B106" i="22"/>
  <c r="C106" i="22"/>
  <c r="D106" i="22"/>
  <c r="E106" i="22"/>
  <c r="F106" i="22"/>
  <c r="B107" i="22"/>
  <c r="C107" i="22"/>
  <c r="D107" i="22"/>
  <c r="E107" i="22"/>
  <c r="F107" i="22"/>
  <c r="B108" i="22"/>
  <c r="C108" i="22"/>
  <c r="D108" i="22"/>
  <c r="E108" i="22"/>
  <c r="F108" i="22"/>
  <c r="B109" i="22"/>
  <c r="C109" i="22"/>
  <c r="D109" i="22"/>
  <c r="E109" i="22"/>
  <c r="F109" i="22"/>
  <c r="B110" i="22"/>
  <c r="C110" i="22"/>
  <c r="D110" i="22"/>
  <c r="E110" i="22"/>
  <c r="F110" i="22"/>
  <c r="B111" i="22"/>
  <c r="C111" i="22"/>
  <c r="D111" i="22"/>
  <c r="E111" i="22"/>
  <c r="F111" i="22"/>
  <c r="B112" i="22"/>
  <c r="C112" i="22"/>
  <c r="D112" i="22"/>
  <c r="E112" i="22"/>
  <c r="F112" i="22"/>
  <c r="H112" i="22" a="1"/>
  <c r="H112" i="22" s="1"/>
  <c r="B113" i="22"/>
  <c r="C113" i="22"/>
  <c r="D113" i="22"/>
  <c r="E113" i="22"/>
  <c r="F113" i="22"/>
  <c r="B114" i="22"/>
  <c r="C114" i="22"/>
  <c r="D114" i="22"/>
  <c r="E114" i="22"/>
  <c r="F114" i="22"/>
  <c r="B115" i="22"/>
  <c r="C115" i="22"/>
  <c r="D115" i="22"/>
  <c r="E115" i="22"/>
  <c r="F115" i="22"/>
  <c r="I100" i="22"/>
  <c r="J100" i="22"/>
  <c r="K100" i="22"/>
  <c r="L100" i="22"/>
  <c r="G106" i="22" s="1" a="1"/>
  <c r="G106" i="22" s="1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AF100" i="22"/>
  <c r="AG100" i="22"/>
  <c r="AH100" i="22"/>
  <c r="AI100" i="22"/>
  <c r="AJ100" i="22"/>
  <c r="AK100" i="22"/>
  <c r="AL100" i="22"/>
  <c r="AM100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Y99" i="22"/>
  <c r="Z99" i="22"/>
  <c r="AA99" i="22"/>
  <c r="AB99" i="22"/>
  <c r="AC99" i="22"/>
  <c r="AD99" i="22"/>
  <c r="AE99" i="22"/>
  <c r="AF99" i="22"/>
  <c r="AG99" i="22"/>
  <c r="AH99" i="22"/>
  <c r="AI99" i="22"/>
  <c r="AJ99" i="22"/>
  <c r="AK99" i="22"/>
  <c r="AL99" i="22"/>
  <c r="AM99" i="22"/>
  <c r="B82" i="22"/>
  <c r="C82" i="22"/>
  <c r="D82" i="22"/>
  <c r="E82" i="22"/>
  <c r="F82" i="22"/>
  <c r="B83" i="22"/>
  <c r="C83" i="22"/>
  <c r="I6" i="4" s="1"/>
  <c r="D83" i="22"/>
  <c r="E83" i="22"/>
  <c r="F83" i="22"/>
  <c r="B84" i="22"/>
  <c r="C84" i="22"/>
  <c r="D84" i="22"/>
  <c r="E84" i="22"/>
  <c r="N7" i="4" s="1"/>
  <c r="F84" i="22"/>
  <c r="B85" i="22"/>
  <c r="C85" i="22"/>
  <c r="D85" i="22"/>
  <c r="E85" i="22"/>
  <c r="F85" i="22"/>
  <c r="B86" i="22"/>
  <c r="C86" i="22"/>
  <c r="I9" i="4" s="1"/>
  <c r="D86" i="22"/>
  <c r="J9" i="4" s="1"/>
  <c r="E86" i="22"/>
  <c r="F86" i="22"/>
  <c r="B87" i="22"/>
  <c r="C87" i="22"/>
  <c r="D87" i="22"/>
  <c r="J10" i="4" s="1"/>
  <c r="E87" i="22"/>
  <c r="F87" i="22"/>
  <c r="B88" i="22"/>
  <c r="C88" i="22"/>
  <c r="D88" i="22"/>
  <c r="E88" i="22"/>
  <c r="F88" i="22"/>
  <c r="B89" i="22"/>
  <c r="C89" i="22"/>
  <c r="D89" i="22"/>
  <c r="E89" i="22"/>
  <c r="N12" i="4" s="1"/>
  <c r="F89" i="22"/>
  <c r="B90" i="22"/>
  <c r="C90" i="22"/>
  <c r="D90" i="22"/>
  <c r="E90" i="22"/>
  <c r="F90" i="22"/>
  <c r="B91" i="22"/>
  <c r="C91" i="22"/>
  <c r="D91" i="22"/>
  <c r="E91" i="22"/>
  <c r="F91" i="22"/>
  <c r="B92" i="22"/>
  <c r="C92" i="22"/>
  <c r="D92" i="22"/>
  <c r="E92" i="22"/>
  <c r="F92" i="22"/>
  <c r="K15" i="4" s="1"/>
  <c r="B93" i="22"/>
  <c r="C93" i="22"/>
  <c r="D93" i="22"/>
  <c r="E93" i="22"/>
  <c r="F93" i="22"/>
  <c r="B94" i="22"/>
  <c r="C94" i="22"/>
  <c r="D94" i="22"/>
  <c r="E94" i="22"/>
  <c r="F94" i="22"/>
  <c r="B95" i="22"/>
  <c r="C95" i="22"/>
  <c r="D95" i="22"/>
  <c r="E95" i="22"/>
  <c r="F95" i="22"/>
  <c r="B96" i="22"/>
  <c r="C96" i="22"/>
  <c r="D96" i="22"/>
  <c r="E96" i="22"/>
  <c r="F96" i="22"/>
  <c r="I81" i="22"/>
  <c r="J81" i="22"/>
  <c r="K81" i="22"/>
  <c r="L81" i="22"/>
  <c r="M81" i="22"/>
  <c r="N81" i="22"/>
  <c r="O81" i="22"/>
  <c r="H87" i="22" s="1" a="1"/>
  <c r="H87" i="22" s="1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B63" i="22"/>
  <c r="C63" i="22"/>
  <c r="D63" i="22"/>
  <c r="J5" i="4" s="1"/>
  <c r="E63" i="22"/>
  <c r="N5" i="4" s="1"/>
  <c r="F63" i="22"/>
  <c r="B64" i="22"/>
  <c r="C64" i="22"/>
  <c r="D64" i="22"/>
  <c r="J6" i="4" s="1"/>
  <c r="E64" i="22"/>
  <c r="F64" i="22"/>
  <c r="K6" i="4" s="1"/>
  <c r="B65" i="22"/>
  <c r="C65" i="22"/>
  <c r="I7" i="4" s="1"/>
  <c r="D65" i="22"/>
  <c r="E65" i="22"/>
  <c r="F65" i="22"/>
  <c r="B66" i="22"/>
  <c r="C66" i="22"/>
  <c r="D66" i="22"/>
  <c r="J8" i="4" s="1"/>
  <c r="E66" i="22"/>
  <c r="N8" i="4" s="1"/>
  <c r="F66" i="22"/>
  <c r="B67" i="22"/>
  <c r="C67" i="22"/>
  <c r="D67" i="22"/>
  <c r="E67" i="22"/>
  <c r="N9" i="4" s="1"/>
  <c r="F67" i="22"/>
  <c r="B68" i="22"/>
  <c r="C68" i="22"/>
  <c r="I10" i="4" s="1"/>
  <c r="D68" i="22"/>
  <c r="E68" i="22"/>
  <c r="F68" i="22"/>
  <c r="B69" i="22"/>
  <c r="C69" i="22"/>
  <c r="I11" i="4" s="1"/>
  <c r="D69" i="22"/>
  <c r="E69" i="22"/>
  <c r="N11" i="4" s="1"/>
  <c r="F69" i="22"/>
  <c r="K11" i="4" s="1"/>
  <c r="B70" i="22"/>
  <c r="C70" i="22"/>
  <c r="D70" i="22"/>
  <c r="E70" i="22"/>
  <c r="F70" i="22"/>
  <c r="K12" i="4" s="1"/>
  <c r="B71" i="22"/>
  <c r="C71" i="22"/>
  <c r="I13" i="4" s="1"/>
  <c r="D71" i="22"/>
  <c r="J13" i="4" s="1"/>
  <c r="E71" i="22"/>
  <c r="N13" i="4" s="1"/>
  <c r="F71" i="22"/>
  <c r="B72" i="22"/>
  <c r="C72" i="22"/>
  <c r="D72" i="22"/>
  <c r="J14" i="4" s="1"/>
  <c r="E72" i="22"/>
  <c r="F72" i="22"/>
  <c r="K14" i="4" s="1"/>
  <c r="B73" i="22"/>
  <c r="C73" i="22"/>
  <c r="I15" i="4" s="1"/>
  <c r="D73" i="22"/>
  <c r="E73" i="22"/>
  <c r="F73" i="22"/>
  <c r="B74" i="22"/>
  <c r="C74" i="22"/>
  <c r="D74" i="22"/>
  <c r="J16" i="4" s="1"/>
  <c r="E74" i="22"/>
  <c r="N16" i="4" s="1"/>
  <c r="F74" i="22"/>
  <c r="K16" i="4" s="1"/>
  <c r="B75" i="22"/>
  <c r="C75" i="22"/>
  <c r="I17" i="4" s="1"/>
  <c r="D75" i="22"/>
  <c r="J17" i="4" s="1"/>
  <c r="E75" i="22"/>
  <c r="F75" i="22"/>
  <c r="K17" i="4" s="1"/>
  <c r="B76" i="22"/>
  <c r="C76" i="22"/>
  <c r="I18" i="4" s="1"/>
  <c r="D76" i="22"/>
  <c r="J18" i="4" s="1"/>
  <c r="E76" i="22"/>
  <c r="F76" i="22"/>
  <c r="K18" i="4" s="1"/>
  <c r="B77" i="22"/>
  <c r="C77" i="22"/>
  <c r="D77" i="22"/>
  <c r="J19" i="4" s="1"/>
  <c r="E77" i="22"/>
  <c r="N19" i="4" s="1"/>
  <c r="F77" i="22"/>
  <c r="K19" i="4" s="1"/>
  <c r="I62" i="22"/>
  <c r="J62" i="22"/>
  <c r="K62" i="22"/>
  <c r="G66" i="22" s="1" a="1"/>
  <c r="G66" i="22" s="1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B44" i="22"/>
  <c r="C44" i="22"/>
  <c r="D44" i="22"/>
  <c r="E44" i="22"/>
  <c r="F44" i="22"/>
  <c r="B45" i="22"/>
  <c r="C45" i="22"/>
  <c r="D45" i="22"/>
  <c r="E45" i="22"/>
  <c r="F45" i="22"/>
  <c r="B46" i="22"/>
  <c r="C46" i="22"/>
  <c r="D46" i="22"/>
  <c r="E46" i="22"/>
  <c r="F46" i="22"/>
  <c r="B47" i="22"/>
  <c r="C47" i="22"/>
  <c r="D47" i="22"/>
  <c r="E47" i="22"/>
  <c r="F47" i="22"/>
  <c r="B48" i="22"/>
  <c r="C48" i="22"/>
  <c r="D48" i="22"/>
  <c r="E48" i="22"/>
  <c r="F48" i="22"/>
  <c r="B49" i="22"/>
  <c r="C49" i="22"/>
  <c r="D49" i="22"/>
  <c r="E49" i="22"/>
  <c r="F49" i="22"/>
  <c r="B50" i="22"/>
  <c r="C50" i="22"/>
  <c r="C11" i="4" s="1"/>
  <c r="D50" i="22"/>
  <c r="E50" i="22"/>
  <c r="M11" i="3" s="1"/>
  <c r="F50" i="22"/>
  <c r="B51" i="22"/>
  <c r="C51" i="22"/>
  <c r="D51" i="22"/>
  <c r="E51" i="22"/>
  <c r="F51" i="22"/>
  <c r="B52" i="22"/>
  <c r="C52" i="22"/>
  <c r="D52" i="22"/>
  <c r="E52" i="22"/>
  <c r="F52" i="22"/>
  <c r="B53" i="22"/>
  <c r="C53" i="22"/>
  <c r="C14" i="4" s="1"/>
  <c r="D53" i="22"/>
  <c r="E53" i="22"/>
  <c r="F53" i="22"/>
  <c r="B54" i="22"/>
  <c r="C54" i="22"/>
  <c r="D54" i="22"/>
  <c r="E54" i="22"/>
  <c r="F54" i="22"/>
  <c r="E15" i="3" s="1"/>
  <c r="B55" i="22"/>
  <c r="C55" i="22"/>
  <c r="D55" i="22"/>
  <c r="E55" i="22"/>
  <c r="F55" i="22"/>
  <c r="B56" i="22"/>
  <c r="C56" i="22"/>
  <c r="D56" i="22"/>
  <c r="E56" i="22"/>
  <c r="F56" i="22"/>
  <c r="H56" i="22" a="1"/>
  <c r="H56" i="22" s="1"/>
  <c r="B57" i="22"/>
  <c r="C57" i="22"/>
  <c r="D57" i="22"/>
  <c r="E57" i="22"/>
  <c r="F57" i="22"/>
  <c r="B58" i="22"/>
  <c r="C58" i="22"/>
  <c r="D58" i="22"/>
  <c r="E58" i="22"/>
  <c r="F58" i="22"/>
  <c r="I43" i="22"/>
  <c r="J43" i="22"/>
  <c r="K43" i="22"/>
  <c r="G54" i="22" s="1" a="1"/>
  <c r="G54" i="22" s="1"/>
  <c r="L43" i="22"/>
  <c r="H49" i="22" s="1" a="1"/>
  <c r="H49" i="22" s="1"/>
  <c r="M43" i="22"/>
  <c r="G57" i="22" s="1" a="1"/>
  <c r="G57" i="22" s="1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H48" i="22" s="1" a="1"/>
  <c r="H48" i="22" s="1"/>
  <c r="AL43" i="22"/>
  <c r="AM43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B25" i="22"/>
  <c r="C25" i="22"/>
  <c r="D25" i="22"/>
  <c r="E25" i="22"/>
  <c r="F25" i="22"/>
  <c r="B26" i="22"/>
  <c r="C26" i="22"/>
  <c r="C6" i="4" s="1"/>
  <c r="D26" i="22"/>
  <c r="E26" i="22"/>
  <c r="F26" i="22"/>
  <c r="B27" i="22"/>
  <c r="C27" i="22"/>
  <c r="D27" i="22"/>
  <c r="E27" i="22"/>
  <c r="M7" i="3" s="1"/>
  <c r="F27" i="22"/>
  <c r="B28" i="22"/>
  <c r="C28" i="22"/>
  <c r="D28" i="22"/>
  <c r="E28" i="22"/>
  <c r="F28" i="22"/>
  <c r="B29" i="22"/>
  <c r="C29" i="22"/>
  <c r="C9" i="4" s="1"/>
  <c r="D29" i="22"/>
  <c r="E29" i="22"/>
  <c r="F29" i="22"/>
  <c r="B30" i="22"/>
  <c r="C30" i="22"/>
  <c r="C10" i="4" s="1"/>
  <c r="D30" i="22"/>
  <c r="E30" i="22"/>
  <c r="F30" i="22"/>
  <c r="E10" i="3" s="1"/>
  <c r="B31" i="22"/>
  <c r="C31" i="22"/>
  <c r="D31" i="22"/>
  <c r="E31" i="22"/>
  <c r="F31" i="22"/>
  <c r="B32" i="22"/>
  <c r="C32" i="22"/>
  <c r="D32" i="22"/>
  <c r="G12" i="3" s="1"/>
  <c r="E32" i="22"/>
  <c r="F32" i="22"/>
  <c r="B33" i="22"/>
  <c r="C33" i="22"/>
  <c r="D33" i="22"/>
  <c r="E33" i="22"/>
  <c r="F33" i="22"/>
  <c r="B34" i="22"/>
  <c r="C34" i="22"/>
  <c r="D34" i="22"/>
  <c r="E34" i="22"/>
  <c r="F34" i="22"/>
  <c r="B35" i="22"/>
  <c r="C35" i="22"/>
  <c r="C15" i="4" s="1"/>
  <c r="D35" i="22"/>
  <c r="E35" i="22"/>
  <c r="M15" i="3" s="1"/>
  <c r="F35" i="22"/>
  <c r="B36" i="22"/>
  <c r="C36" i="22"/>
  <c r="D36" i="22"/>
  <c r="E36" i="22"/>
  <c r="F36" i="22"/>
  <c r="B37" i="22"/>
  <c r="C37" i="22"/>
  <c r="C17" i="4" s="1"/>
  <c r="D37" i="22"/>
  <c r="E37" i="22"/>
  <c r="F37" i="22"/>
  <c r="B38" i="22"/>
  <c r="C38" i="22"/>
  <c r="D38" i="22"/>
  <c r="E38" i="22"/>
  <c r="F38" i="22"/>
  <c r="B39" i="22"/>
  <c r="C39" i="22"/>
  <c r="D39" i="22"/>
  <c r="E39" i="22"/>
  <c r="F39" i="22"/>
  <c r="I24" i="22"/>
  <c r="J24" i="22"/>
  <c r="K24" i="22"/>
  <c r="H25" i="22" s="1" a="1"/>
  <c r="H25" i="22" s="1"/>
  <c r="L24" i="22"/>
  <c r="G26" i="22" s="1" a="1"/>
  <c r="G26" i="22" s="1"/>
  <c r="M24" i="22"/>
  <c r="G25" i="22" s="1" a="1"/>
  <c r="G25" i="22" s="1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B6" i="22"/>
  <c r="C6" i="22"/>
  <c r="D6" i="22"/>
  <c r="E6" i="22"/>
  <c r="F6" i="22"/>
  <c r="B7" i="22"/>
  <c r="C7" i="22"/>
  <c r="D7" i="22"/>
  <c r="E7" i="22"/>
  <c r="H6" i="4" s="1"/>
  <c r="F7" i="22"/>
  <c r="E6" i="3" s="1"/>
  <c r="B8" i="22"/>
  <c r="C8" i="22"/>
  <c r="C7" i="3" s="1"/>
  <c r="D8" i="22"/>
  <c r="E8" i="22"/>
  <c r="F8" i="22"/>
  <c r="E7" i="4" s="1"/>
  <c r="B9" i="22"/>
  <c r="C9" i="22"/>
  <c r="C8" i="3" s="1"/>
  <c r="D9" i="22"/>
  <c r="G8" i="3" s="1"/>
  <c r="E9" i="22"/>
  <c r="F9" i="22"/>
  <c r="E8" i="4" s="1"/>
  <c r="B10" i="22"/>
  <c r="C10" i="22"/>
  <c r="D10" i="22"/>
  <c r="D9" i="4" s="1"/>
  <c r="E10" i="22"/>
  <c r="F10" i="22"/>
  <c r="E9" i="3" s="1"/>
  <c r="B11" i="22"/>
  <c r="C11" i="22"/>
  <c r="D11" i="22"/>
  <c r="D10" i="4" s="1"/>
  <c r="E11" i="22"/>
  <c r="F11" i="22"/>
  <c r="B12" i="22"/>
  <c r="C12" i="22"/>
  <c r="D12" i="22"/>
  <c r="G11" i="3" s="1"/>
  <c r="E12" i="22"/>
  <c r="H11" i="4" s="1"/>
  <c r="F12" i="22"/>
  <c r="B13" i="22"/>
  <c r="C13" i="22"/>
  <c r="D13" i="22"/>
  <c r="E13" i="22"/>
  <c r="H12" i="4" s="1"/>
  <c r="F13" i="22"/>
  <c r="B14" i="22"/>
  <c r="C14" i="22"/>
  <c r="D14" i="22"/>
  <c r="E14" i="22"/>
  <c r="H13" i="4" s="1"/>
  <c r="F14" i="22"/>
  <c r="B15" i="22"/>
  <c r="C15" i="22"/>
  <c r="D15" i="22"/>
  <c r="E15" i="22"/>
  <c r="H14" i="4" s="1"/>
  <c r="F15" i="22"/>
  <c r="E14" i="3" s="1"/>
  <c r="B16" i="22"/>
  <c r="C16" i="22"/>
  <c r="C15" i="3" s="1"/>
  <c r="D16" i="22"/>
  <c r="E16" i="22"/>
  <c r="F16" i="22"/>
  <c r="E15" i="4" s="1"/>
  <c r="B17" i="22"/>
  <c r="C17" i="22"/>
  <c r="C16" i="3" s="1"/>
  <c r="D17" i="22"/>
  <c r="G16" i="3" s="1"/>
  <c r="E17" i="22"/>
  <c r="F17" i="22"/>
  <c r="E16" i="4" s="1"/>
  <c r="B18" i="22"/>
  <c r="C18" i="22"/>
  <c r="D18" i="22"/>
  <c r="E18" i="22"/>
  <c r="F18" i="22"/>
  <c r="E17" i="3" s="1"/>
  <c r="B19" i="22"/>
  <c r="C19" i="22"/>
  <c r="D19" i="22"/>
  <c r="D18" i="4" s="1"/>
  <c r="E19" i="22"/>
  <c r="F19" i="22"/>
  <c r="B20" i="22"/>
  <c r="C20" i="22"/>
  <c r="D20" i="22"/>
  <c r="G19" i="3" s="1"/>
  <c r="E20" i="22"/>
  <c r="M19" i="3" s="1"/>
  <c r="F20" i="22"/>
  <c r="E19" i="4" s="1"/>
  <c r="I5" i="22"/>
  <c r="G18" i="22" s="1" a="1"/>
  <c r="G18" i="22" s="1"/>
  <c r="J5" i="22"/>
  <c r="G19" i="22" s="1" a="1"/>
  <c r="G19" i="22" s="1"/>
  <c r="K5" i="22"/>
  <c r="G14" i="22" s="1" a="1"/>
  <c r="G14" i="22" s="1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C21" i="8"/>
  <c r="B3" i="8"/>
  <c r="C13" i="8" s="1"/>
  <c r="A108" i="22" s="1"/>
  <c r="D22" i="5"/>
  <c r="D21" i="5"/>
  <c r="D20" i="5"/>
  <c r="D19" i="5"/>
  <c r="D17" i="5"/>
  <c r="D16" i="5"/>
  <c r="D15" i="5"/>
  <c r="D14" i="5"/>
  <c r="D12" i="5"/>
  <c r="D11" i="5"/>
  <c r="D10" i="5"/>
  <c r="D9" i="5"/>
  <c r="D7" i="5"/>
  <c r="D6" i="5"/>
  <c r="D5" i="5"/>
  <c r="U15" i="4" l="1"/>
  <c r="W8" i="4"/>
  <c r="Z5" i="4"/>
  <c r="V18" i="4"/>
  <c r="W16" i="4"/>
  <c r="Z13" i="4"/>
  <c r="V10" i="4"/>
  <c r="U7" i="4"/>
  <c r="E12" i="3"/>
  <c r="E7" i="3"/>
  <c r="D17" i="3"/>
  <c r="G14" i="3"/>
  <c r="G17" i="3"/>
  <c r="C14" i="3"/>
  <c r="M12" i="3"/>
  <c r="G9" i="3"/>
  <c r="P14" i="4"/>
  <c r="Q12" i="4"/>
  <c r="O11" i="4"/>
  <c r="Q15" i="4"/>
  <c r="Q7" i="4"/>
  <c r="AC7" i="4" s="1"/>
  <c r="O16" i="4"/>
  <c r="Q18" i="4"/>
  <c r="O17" i="4"/>
  <c r="Q5" i="4"/>
  <c r="Q19" i="4"/>
  <c r="T16" i="4"/>
  <c r="P13" i="4"/>
  <c r="Q11" i="4"/>
  <c r="G18" i="3"/>
  <c r="E8" i="3"/>
  <c r="G6" i="3"/>
  <c r="I16" i="4"/>
  <c r="N14" i="4"/>
  <c r="J11" i="4"/>
  <c r="K9" i="4"/>
  <c r="N6" i="4"/>
  <c r="I19" i="4"/>
  <c r="N17" i="4"/>
  <c r="I14" i="4"/>
  <c r="C6" i="3"/>
  <c r="N18" i="4"/>
  <c r="J15" i="4"/>
  <c r="K13" i="4"/>
  <c r="I12" i="4"/>
  <c r="N10" i="4"/>
  <c r="J7" i="4"/>
  <c r="K5" i="4"/>
  <c r="AF12" i="4"/>
  <c r="E13" i="3"/>
  <c r="G7" i="3"/>
  <c r="G15" i="3"/>
  <c r="M10" i="3"/>
  <c r="C12" i="3"/>
  <c r="O12" i="3" s="1"/>
  <c r="E5" i="3"/>
  <c r="E16" i="3"/>
  <c r="G10" i="3"/>
  <c r="M18" i="3"/>
  <c r="N15" i="4"/>
  <c r="J12" i="4"/>
  <c r="K10" i="4"/>
  <c r="AC10" i="4" s="1"/>
  <c r="AF14" i="4"/>
  <c r="M8" i="3"/>
  <c r="AF13" i="4"/>
  <c r="AF11" i="4"/>
  <c r="C18" i="3"/>
  <c r="M16" i="3"/>
  <c r="C7" i="4"/>
  <c r="C13" i="4"/>
  <c r="C5" i="3"/>
  <c r="C18" i="4"/>
  <c r="H16" i="4"/>
  <c r="D13" i="3"/>
  <c r="E11" i="4"/>
  <c r="H8" i="4"/>
  <c r="C9" i="3"/>
  <c r="D9" i="3"/>
  <c r="D6" i="3"/>
  <c r="C13" i="3"/>
  <c r="C19" i="3"/>
  <c r="M17" i="3"/>
  <c r="D14" i="3"/>
  <c r="E12" i="4"/>
  <c r="C11" i="3"/>
  <c r="M9" i="3"/>
  <c r="D6" i="4"/>
  <c r="C10" i="3"/>
  <c r="H7" i="4"/>
  <c r="E18" i="4"/>
  <c r="AC18" i="4" s="1"/>
  <c r="C17" i="3"/>
  <c r="O17" i="3" s="1"/>
  <c r="H15" i="4"/>
  <c r="AF15" i="4" s="1"/>
  <c r="D12" i="3"/>
  <c r="E10" i="4"/>
  <c r="D11" i="3"/>
  <c r="O11" i="3" s="1"/>
  <c r="D19" i="3"/>
  <c r="O19" i="3" s="1"/>
  <c r="C8" i="4"/>
  <c r="C12" i="4"/>
  <c r="AA12" i="4" s="1"/>
  <c r="C19" i="4"/>
  <c r="AA19" i="4" s="1"/>
  <c r="D10" i="3"/>
  <c r="E11" i="3"/>
  <c r="G13" i="3"/>
  <c r="D18" i="3"/>
  <c r="E19" i="3"/>
  <c r="D7" i="4"/>
  <c r="D8" i="4"/>
  <c r="AB8" i="4" s="1"/>
  <c r="D11" i="4"/>
  <c r="AB11" i="4" s="1"/>
  <c r="D12" i="4"/>
  <c r="D13" i="4"/>
  <c r="AB13" i="4" s="1"/>
  <c r="D14" i="4"/>
  <c r="D15" i="4"/>
  <c r="AB15" i="4" s="1"/>
  <c r="D16" i="4"/>
  <c r="D17" i="4"/>
  <c r="D19" i="4"/>
  <c r="AB19" i="4" s="1"/>
  <c r="C16" i="4"/>
  <c r="AA16" i="4" s="1"/>
  <c r="E5" i="4"/>
  <c r="M6" i="3"/>
  <c r="M14" i="3"/>
  <c r="E18" i="3"/>
  <c r="E6" i="4"/>
  <c r="AC6" i="4" s="1"/>
  <c r="E9" i="4"/>
  <c r="E13" i="4"/>
  <c r="AC13" i="4" s="1"/>
  <c r="E14" i="4"/>
  <c r="AC14" i="4" s="1"/>
  <c r="E17" i="4"/>
  <c r="AC17" i="4" s="1"/>
  <c r="H5" i="4"/>
  <c r="AF5" i="4" s="1"/>
  <c r="D5" i="4"/>
  <c r="D8" i="3"/>
  <c r="M13" i="3"/>
  <c r="D16" i="3"/>
  <c r="D7" i="3"/>
  <c r="O7" i="3" s="1"/>
  <c r="D15" i="3"/>
  <c r="O15" i="3" s="1"/>
  <c r="H9" i="4"/>
  <c r="AF9" i="4" s="1"/>
  <c r="H10" i="4"/>
  <c r="AF10" i="4" s="1"/>
  <c r="H17" i="4"/>
  <c r="AF17" i="4" s="1"/>
  <c r="H18" i="4"/>
  <c r="AF18" i="4" s="1"/>
  <c r="H19" i="4"/>
  <c r="AF19" i="4" s="1"/>
  <c r="G5" i="3"/>
  <c r="M5" i="3"/>
  <c r="D5" i="3"/>
  <c r="C5" i="4"/>
  <c r="AA5" i="4" s="1"/>
  <c r="AA11" i="4"/>
  <c r="AA14" i="4"/>
  <c r="AF8" i="4"/>
  <c r="AF16" i="4"/>
  <c r="AA10" i="4"/>
  <c r="AC12" i="4"/>
  <c r="AB10" i="4"/>
  <c r="AA6" i="4"/>
  <c r="AC15" i="4"/>
  <c r="AC16" i="4"/>
  <c r="AC19" i="4"/>
  <c r="AB6" i="4"/>
  <c r="AF6" i="4"/>
  <c r="AB18" i="4"/>
  <c r="AA18" i="4"/>
  <c r="AB17" i="4"/>
  <c r="AA17" i="4"/>
  <c r="AB16" i="4"/>
  <c r="AA15" i="4"/>
  <c r="AB14" i="4"/>
  <c r="AA13" i="4"/>
  <c r="AB12" i="4"/>
  <c r="AC11" i="4"/>
  <c r="AC9" i="4"/>
  <c r="AB9" i="4"/>
  <c r="AA9" i="4"/>
  <c r="AC8" i="4"/>
  <c r="AA8" i="4"/>
  <c r="AF7" i="4"/>
  <c r="AB7" i="4"/>
  <c r="AA7" i="4"/>
  <c r="A70" i="22"/>
  <c r="A165" i="22"/>
  <c r="A13" i="22"/>
  <c r="A32" i="22"/>
  <c r="A127" i="22"/>
  <c r="H37" i="22" a="1"/>
  <c r="H37" i="22" s="1"/>
  <c r="H17" i="22" a="1"/>
  <c r="H17" i="22" s="1"/>
  <c r="G44" i="22" a="1"/>
  <c r="G44" i="22" s="1"/>
  <c r="H14" i="22" a="1"/>
  <c r="H14" i="22" s="1"/>
  <c r="G10" i="22" a="1"/>
  <c r="G10" i="22" s="1"/>
  <c r="H32" i="22" a="1"/>
  <c r="H32" i="22" s="1"/>
  <c r="H82" i="22" a="1"/>
  <c r="H82" i="22" s="1"/>
  <c r="H121" i="22" a="1"/>
  <c r="H121" i="22" s="1"/>
  <c r="H122" i="22" a="1"/>
  <c r="H122" i="22" s="1"/>
  <c r="G123" i="22" a="1"/>
  <c r="G123" i="22" s="1"/>
  <c r="H129" i="22" a="1"/>
  <c r="H129" i="22" s="1"/>
  <c r="H130" i="22" a="1"/>
  <c r="H130" i="22" s="1"/>
  <c r="G131" i="22" a="1"/>
  <c r="G131" i="22" s="1"/>
  <c r="G124" i="22" a="1"/>
  <c r="G124" i="22" s="1"/>
  <c r="G132" i="22" a="1"/>
  <c r="G132" i="22" s="1"/>
  <c r="H123" i="22" a="1"/>
  <c r="H123" i="22" s="1"/>
  <c r="S8" i="4" s="1"/>
  <c r="H124" i="22" a="1"/>
  <c r="H124" i="22" s="1"/>
  <c r="G125" i="22" a="1"/>
  <c r="G125" i="22" s="1"/>
  <c r="H131" i="22" a="1"/>
  <c r="H131" i="22" s="1"/>
  <c r="H132" i="22" a="1"/>
  <c r="H132" i="22" s="1"/>
  <c r="G133" i="22" a="1"/>
  <c r="G133" i="22" s="1"/>
  <c r="G126" i="22" a="1"/>
  <c r="G126" i="22" s="1"/>
  <c r="G134" i="22" a="1"/>
  <c r="G134" i="22" s="1"/>
  <c r="H125" i="22" a="1"/>
  <c r="H125" i="22" s="1"/>
  <c r="H126" i="22" a="1"/>
  <c r="H126" i="22" s="1"/>
  <c r="G127" i="22" a="1"/>
  <c r="G127" i="22" s="1"/>
  <c r="H133" i="22" a="1"/>
  <c r="H133" i="22" s="1"/>
  <c r="H134" i="22" a="1"/>
  <c r="H134" i="22" s="1"/>
  <c r="G120" i="22" a="1"/>
  <c r="G120" i="22" s="1"/>
  <c r="G128" i="22" a="1"/>
  <c r="G128" i="22" s="1"/>
  <c r="G15" i="22" a="1"/>
  <c r="G15" i="22" s="1"/>
  <c r="H95" i="22" a="1"/>
  <c r="H95" i="22" s="1"/>
  <c r="H148" i="22" a="1"/>
  <c r="H148" i="22" s="1"/>
  <c r="H149" i="22" a="1"/>
  <c r="H149" i="22" s="1"/>
  <c r="H150" i="22" a="1"/>
  <c r="H150" i="22" s="1"/>
  <c r="G88" i="22" a="1"/>
  <c r="G88" i="22" s="1"/>
  <c r="G96" i="22" a="1"/>
  <c r="G96" i="22" s="1"/>
  <c r="H96" i="22" a="1"/>
  <c r="H96" i="22" s="1"/>
  <c r="H88" i="22" a="1"/>
  <c r="H88" i="22" s="1"/>
  <c r="H104" i="22" a="1"/>
  <c r="H104" i="22" s="1"/>
  <c r="H127" i="22" a="1"/>
  <c r="H127" i="22" s="1"/>
  <c r="G33" i="22" a="1"/>
  <c r="G33" i="22" s="1"/>
  <c r="H55" i="22" a="1"/>
  <c r="H55" i="22" s="1"/>
  <c r="H47" i="22" a="1"/>
  <c r="H47" i="22" s="1"/>
  <c r="H72" i="22" a="1"/>
  <c r="H72" i="22" s="1"/>
  <c r="G89" i="22" a="1"/>
  <c r="G89" i="22" s="1"/>
  <c r="H113" i="22" a="1"/>
  <c r="H113" i="22" s="1"/>
  <c r="H105" i="22" a="1"/>
  <c r="H105" i="22" s="1"/>
  <c r="H120" i="22" a="1"/>
  <c r="H120" i="22" s="1"/>
  <c r="H13" i="22" a="1"/>
  <c r="H13" i="22" s="1"/>
  <c r="G27" i="22" a="1"/>
  <c r="G27" i="22" s="1"/>
  <c r="G39" i="22" a="1"/>
  <c r="G39" i="22" s="1"/>
  <c r="H31" i="22" a="1"/>
  <c r="H31" i="22" s="1"/>
  <c r="H36" i="22" a="1"/>
  <c r="H36" i="22" s="1"/>
  <c r="G32" i="22" a="1"/>
  <c r="G32" i="22" s="1"/>
  <c r="H30" i="22" a="1"/>
  <c r="H30" i="22" s="1"/>
  <c r="G37" i="22" a="1"/>
  <c r="G37" i="22" s="1"/>
  <c r="H73" i="22" a="1"/>
  <c r="H73" i="22" s="1"/>
  <c r="H64" i="22" a="1"/>
  <c r="H64" i="22" s="1"/>
  <c r="G90" i="22" a="1"/>
  <c r="G90" i="22" s="1"/>
  <c r="G82" i="22" a="1"/>
  <c r="G82" i="22" s="1"/>
  <c r="G113" i="22" a="1"/>
  <c r="G113" i="22" s="1"/>
  <c r="G105" i="22" a="1"/>
  <c r="G105" i="22" s="1"/>
  <c r="G129" i="22" a="1"/>
  <c r="G129" i="22" s="1"/>
  <c r="G121" i="22" a="1"/>
  <c r="G121" i="22" s="1"/>
  <c r="H18" i="22" a="1"/>
  <c r="H18" i="22" s="1"/>
  <c r="G6" i="22" a="1"/>
  <c r="G6" i="22" s="1"/>
  <c r="H6" i="22" a="1"/>
  <c r="H6" i="22" s="1"/>
  <c r="H11" i="22" a="1"/>
  <c r="H11" i="22" s="1"/>
  <c r="G12" i="22" a="1"/>
  <c r="G12" i="22" s="1"/>
  <c r="H15" i="22" a="1"/>
  <c r="H15" i="22" s="1"/>
  <c r="G16" i="22" a="1"/>
  <c r="G16" i="22" s="1"/>
  <c r="H19" i="22" a="1"/>
  <c r="H19" i="22" s="1"/>
  <c r="G20" i="22" a="1"/>
  <c r="G20" i="22" s="1"/>
  <c r="G13" i="22" a="1"/>
  <c r="G13" i="22" s="1"/>
  <c r="G17" i="22" a="1"/>
  <c r="G17" i="22" s="1"/>
  <c r="H7" i="22" a="1"/>
  <c r="H7" i="22" s="1"/>
  <c r="G8" i="22" a="1"/>
  <c r="G8" i="22" s="1"/>
  <c r="H12" i="22" a="1"/>
  <c r="H12" i="22" s="1"/>
  <c r="H20" i="22" a="1"/>
  <c r="H20" i="22" s="1"/>
  <c r="H16" i="22" a="1"/>
  <c r="H16" i="22" s="1"/>
  <c r="H8" i="22" a="1"/>
  <c r="H8" i="22" s="1"/>
  <c r="G9" i="22" a="1"/>
  <c r="G9" i="22" s="1"/>
  <c r="G49" i="22" a="1"/>
  <c r="G49" i="22" s="1"/>
  <c r="G73" i="22" a="1"/>
  <c r="G73" i="22" s="1"/>
  <c r="H65" i="22" a="1"/>
  <c r="H65" i="22" s="1"/>
  <c r="G115" i="22" a="1"/>
  <c r="G115" i="22" s="1"/>
  <c r="G114" i="22" a="1"/>
  <c r="G114" i="22" s="1"/>
  <c r="G130" i="22" a="1"/>
  <c r="G130" i="22" s="1"/>
  <c r="G122" i="22" a="1"/>
  <c r="G122" i="22" s="1"/>
  <c r="H152" i="22" a="1"/>
  <c r="H152" i="22" s="1"/>
  <c r="G38" i="22" a="1"/>
  <c r="G38" i="22" s="1"/>
  <c r="F18" i="4" s="1"/>
  <c r="G7" i="22" a="1"/>
  <c r="G7" i="22" s="1"/>
  <c r="H10" i="22" a="1"/>
  <c r="H10" i="22" s="1"/>
  <c r="G58" i="22" a="1"/>
  <c r="G58" i="22" s="1"/>
  <c r="G50" i="22" a="1"/>
  <c r="G50" i="22" s="1"/>
  <c r="G67" i="22" a="1"/>
  <c r="G67" i="22" s="1"/>
  <c r="G74" i="22" a="1"/>
  <c r="G74" i="22" s="1"/>
  <c r="G65" i="22" a="1"/>
  <c r="G65" i="22" s="1"/>
  <c r="H151" i="22" a="1"/>
  <c r="H151" i="22" s="1"/>
  <c r="H26" i="22" a="1"/>
  <c r="H26" i="22" s="1"/>
  <c r="G11" i="22" a="1"/>
  <c r="G11" i="22" s="1"/>
  <c r="H9" i="22" a="1"/>
  <c r="H9" i="22" s="1"/>
  <c r="G107" i="22" a="1"/>
  <c r="G107" i="22" s="1"/>
  <c r="H139" i="22" a="1"/>
  <c r="H139" i="22" s="1"/>
  <c r="G152" i="22" a="1"/>
  <c r="G152" i="22" s="1"/>
  <c r="G191" i="22" a="1"/>
  <c r="G191" i="22" s="1"/>
  <c r="G190" i="22" a="1"/>
  <c r="G190" i="22" s="1"/>
  <c r="G189" i="22" a="1"/>
  <c r="G189" i="22" s="1"/>
  <c r="G188" i="22" a="1"/>
  <c r="G188" i="22" s="1"/>
  <c r="G187" i="22" a="1"/>
  <c r="G187" i="22" s="1"/>
  <c r="G186" i="22" a="1"/>
  <c r="G186" i="22" s="1"/>
  <c r="G185" i="22" a="1"/>
  <c r="G185" i="22" s="1"/>
  <c r="G184" i="22" a="1"/>
  <c r="G184" i="22" s="1"/>
  <c r="G183" i="22" a="1"/>
  <c r="G183" i="22" s="1"/>
  <c r="G182" i="22" a="1"/>
  <c r="G182" i="22" s="1"/>
  <c r="G181" i="22" a="1"/>
  <c r="G181" i="22" s="1"/>
  <c r="G180" i="22" a="1"/>
  <c r="G180" i="22" s="1"/>
  <c r="G179" i="22" a="1"/>
  <c r="G179" i="22" s="1"/>
  <c r="X7" i="4" s="1"/>
  <c r="G178" i="22" a="1"/>
  <c r="G178" i="22" s="1"/>
  <c r="X6" i="4" s="1"/>
  <c r="G177" i="22" a="1"/>
  <c r="G177" i="22" s="1"/>
  <c r="H172" i="22" a="1"/>
  <c r="H172" i="22" s="1"/>
  <c r="H171" i="22" a="1"/>
  <c r="H171" i="22" s="1"/>
  <c r="H170" i="22" a="1"/>
  <c r="H170" i="22" s="1"/>
  <c r="H169" i="22" a="1"/>
  <c r="H169" i="22" s="1"/>
  <c r="H168" i="22" a="1"/>
  <c r="H168" i="22" s="1"/>
  <c r="H167" i="22" a="1"/>
  <c r="H167" i="22" s="1"/>
  <c r="H166" i="22" a="1"/>
  <c r="H166" i="22" s="1"/>
  <c r="H165" i="22" a="1"/>
  <c r="H165" i="22" s="1"/>
  <c r="H164" i="22" a="1"/>
  <c r="H164" i="22" s="1"/>
  <c r="H163" i="22" a="1"/>
  <c r="H163" i="22" s="1"/>
  <c r="H162" i="22" a="1"/>
  <c r="H162" i="22" s="1"/>
  <c r="H161" i="22" a="1"/>
  <c r="H161" i="22" s="1"/>
  <c r="H160" i="22" a="1"/>
  <c r="H160" i="22" s="1"/>
  <c r="H159" i="22" a="1"/>
  <c r="H159" i="22" s="1"/>
  <c r="H158" i="22" a="1"/>
  <c r="H158" i="22" s="1"/>
  <c r="H207" i="22" a="1"/>
  <c r="H207" i="22" s="1"/>
  <c r="G56" i="22" a="1"/>
  <c r="G56" i="22" s="1"/>
  <c r="H70" i="22" a="1"/>
  <c r="H70" i="22" s="1"/>
  <c r="G64" i="22" a="1"/>
  <c r="G64" i="22" s="1"/>
  <c r="H63" i="22" a="1"/>
  <c r="H63" i="22" s="1"/>
  <c r="G112" i="22" a="1"/>
  <c r="G112" i="22" s="1"/>
  <c r="H111" i="22" a="1"/>
  <c r="H111" i="22" s="1"/>
  <c r="H110" i="22" a="1"/>
  <c r="H110" i="22" s="1"/>
  <c r="G104" i="22" a="1"/>
  <c r="G104" i="22" s="1"/>
  <c r="H103" i="22" a="1"/>
  <c r="H103" i="22" s="1"/>
  <c r="H102" i="22" a="1"/>
  <c r="H102" i="22" s="1"/>
  <c r="G151" i="22" a="1"/>
  <c r="G151" i="22" s="1"/>
  <c r="G150" i="22" a="1"/>
  <c r="G150" i="22" s="1"/>
  <c r="G149" i="22" a="1"/>
  <c r="G149" i="22" s="1"/>
  <c r="A146" i="22"/>
  <c r="G172" i="22" a="1"/>
  <c r="G172" i="22" s="1"/>
  <c r="G171" i="22" a="1"/>
  <c r="G171" i="22" s="1"/>
  <c r="G170" i="22" a="1"/>
  <c r="G170" i="22" s="1"/>
  <c r="G169" i="22" a="1"/>
  <c r="G169" i="22" s="1"/>
  <c r="G168" i="22" a="1"/>
  <c r="G168" i="22" s="1"/>
  <c r="G167" i="22" a="1"/>
  <c r="G167" i="22" s="1"/>
  <c r="G166" i="22" a="1"/>
  <c r="G166" i="22" s="1"/>
  <c r="G165" i="22" a="1"/>
  <c r="G165" i="22" s="1"/>
  <c r="G164" i="22" a="1"/>
  <c r="G164" i="22" s="1"/>
  <c r="G163" i="22" a="1"/>
  <c r="G163" i="22" s="1"/>
  <c r="G162" i="22" a="1"/>
  <c r="G162" i="22" s="1"/>
  <c r="G161" i="22" a="1"/>
  <c r="G161" i="22" s="1"/>
  <c r="G160" i="22" a="1"/>
  <c r="G160" i="22" s="1"/>
  <c r="G159" i="22" a="1"/>
  <c r="G159" i="22" s="1"/>
  <c r="H71" i="22" a="1"/>
  <c r="H71" i="22" s="1"/>
  <c r="G31" i="22" a="1"/>
  <c r="G31" i="22" s="1"/>
  <c r="G55" i="22" a="1"/>
  <c r="G55" i="22" s="1"/>
  <c r="H54" i="22" a="1"/>
  <c r="H54" i="22" s="1"/>
  <c r="H53" i="22" a="1"/>
  <c r="H53" i="22" s="1"/>
  <c r="G47" i="22" a="1"/>
  <c r="G47" i="22" s="1"/>
  <c r="H46" i="22" a="1"/>
  <c r="H46" i="22" s="1"/>
  <c r="H45" i="22" a="1"/>
  <c r="H45" i="22" s="1"/>
  <c r="G71" i="22" a="1"/>
  <c r="G71" i="22" s="1"/>
  <c r="L13" i="4" s="1"/>
  <c r="G63" i="22" a="1"/>
  <c r="G63" i="22" s="1"/>
  <c r="L5" i="4" s="1"/>
  <c r="G95" i="22" a="1"/>
  <c r="G95" i="22" s="1"/>
  <c r="H94" i="22" a="1"/>
  <c r="H94" i="22" s="1"/>
  <c r="H93" i="22" a="1"/>
  <c r="H93" i="22" s="1"/>
  <c r="G87" i="22" a="1"/>
  <c r="G87" i="22" s="1"/>
  <c r="H86" i="22" a="1"/>
  <c r="H86" i="22" s="1"/>
  <c r="H85" i="22" a="1"/>
  <c r="H85" i="22" s="1"/>
  <c r="G111" i="22" a="1"/>
  <c r="G111" i="22" s="1"/>
  <c r="G103" i="22" a="1"/>
  <c r="G103" i="22" s="1"/>
  <c r="G148" i="22" a="1"/>
  <c r="G148" i="22" s="1"/>
  <c r="H147" i="22" a="1"/>
  <c r="H147" i="22" s="1"/>
  <c r="H146" i="22" a="1"/>
  <c r="H146" i="22" s="1"/>
  <c r="H145" i="22" a="1"/>
  <c r="H145" i="22" s="1"/>
  <c r="H144" i="22" a="1"/>
  <c r="H144" i="22" s="1"/>
  <c r="H143" i="22" a="1"/>
  <c r="H143" i="22" s="1"/>
  <c r="H142" i="22" a="1"/>
  <c r="H142" i="22" s="1"/>
  <c r="H141" i="22" a="1"/>
  <c r="H141" i="22" s="1"/>
  <c r="H140" i="22" a="1"/>
  <c r="H140" i="22" s="1"/>
  <c r="G72" i="22" a="1"/>
  <c r="G72" i="22" s="1"/>
  <c r="H34" i="22" a="1"/>
  <c r="H34" i="22" s="1"/>
  <c r="H28" i="22" a="1"/>
  <c r="H28" i="22" s="1"/>
  <c r="G46" i="22" a="1"/>
  <c r="G46" i="22" s="1"/>
  <c r="H76" i="22" a="1"/>
  <c r="H76" i="22" s="1"/>
  <c r="G70" i="22" a="1"/>
  <c r="G70" i="22" s="1"/>
  <c r="H69" i="22" a="1"/>
  <c r="H69" i="22" s="1"/>
  <c r="H68" i="22" a="1"/>
  <c r="H68" i="22" s="1"/>
  <c r="G94" i="22" a="1"/>
  <c r="G94" i="22" s="1"/>
  <c r="G86" i="22" a="1"/>
  <c r="G86" i="22" s="1"/>
  <c r="G110" i="22" a="1"/>
  <c r="G110" i="22" s="1"/>
  <c r="H109" i="22" a="1"/>
  <c r="H109" i="22" s="1"/>
  <c r="H108" i="22" a="1"/>
  <c r="H108" i="22" s="1"/>
  <c r="G102" i="22" a="1"/>
  <c r="G102" i="22" s="1"/>
  <c r="H101" i="22" a="1"/>
  <c r="H101" i="22" s="1"/>
  <c r="G147" i="22" a="1"/>
  <c r="G147" i="22" s="1"/>
  <c r="G146" i="22" a="1"/>
  <c r="G146" i="22" s="1"/>
  <c r="G145" i="22" a="1"/>
  <c r="G145" i="22" s="1"/>
  <c r="G144" i="22" a="1"/>
  <c r="G144" i="22" s="1"/>
  <c r="G143" i="22" a="1"/>
  <c r="G143" i="22" s="1"/>
  <c r="G142" i="22" a="1"/>
  <c r="G142" i="22" s="1"/>
  <c r="G141" i="22" a="1"/>
  <c r="G141" i="22" s="1"/>
  <c r="G140" i="22" a="1"/>
  <c r="G140" i="22" s="1"/>
  <c r="G139" i="22" a="1"/>
  <c r="G139" i="22" s="1"/>
  <c r="H198" i="22" a="1"/>
  <c r="H198" i="22" s="1"/>
  <c r="G199" i="22" a="1"/>
  <c r="G199" i="22" s="1"/>
  <c r="H202" i="22" a="1"/>
  <c r="H202" i="22" s="1"/>
  <c r="Y11" i="4" s="1"/>
  <c r="G203" i="22" a="1"/>
  <c r="G203" i="22" s="1"/>
  <c r="H206" i="22" a="1"/>
  <c r="H206" i="22" s="1"/>
  <c r="G207" i="22" a="1"/>
  <c r="G207" i="22" s="1"/>
  <c r="G196" i="22" a="1"/>
  <c r="G196" i="22" s="1"/>
  <c r="H199" i="22" a="1"/>
  <c r="H199" i="22" s="1"/>
  <c r="G200" i="22" a="1"/>
  <c r="G200" i="22" s="1"/>
  <c r="H203" i="22" a="1"/>
  <c r="H203" i="22" s="1"/>
  <c r="G204" i="22" a="1"/>
  <c r="G204" i="22" s="1"/>
  <c r="H196" i="22" a="1"/>
  <c r="H196" i="22" s="1"/>
  <c r="Y5" i="4" s="1"/>
  <c r="G197" i="22" a="1"/>
  <c r="G197" i="22" s="1"/>
  <c r="H200" i="22" a="1"/>
  <c r="H200" i="22" s="1"/>
  <c r="G201" i="22" a="1"/>
  <c r="G201" i="22" s="1"/>
  <c r="H204" i="22" a="1"/>
  <c r="H204" i="22" s="1"/>
  <c r="G205" i="22" a="1"/>
  <c r="G205" i="22" s="1"/>
  <c r="H208" i="22" a="1"/>
  <c r="H208" i="22" s="1"/>
  <c r="H197" i="22" a="1"/>
  <c r="H197" i="22" s="1"/>
  <c r="G198" i="22" a="1"/>
  <c r="G198" i="22" s="1"/>
  <c r="H201" i="22" a="1"/>
  <c r="H201" i="22" s="1"/>
  <c r="G202" i="22" a="1"/>
  <c r="G202" i="22" s="1"/>
  <c r="H205" i="22" a="1"/>
  <c r="H205" i="22" s="1"/>
  <c r="G206" i="22" a="1"/>
  <c r="G206" i="22" s="1"/>
  <c r="H209" i="22" a="1"/>
  <c r="H209" i="22" s="1"/>
  <c r="G48" i="22" a="1"/>
  <c r="G48" i="22" s="1"/>
  <c r="H35" i="22" a="1"/>
  <c r="H35" i="22" s="1"/>
  <c r="H29" i="22" a="1"/>
  <c r="H29" i="22" s="1"/>
  <c r="H77" i="22" a="1"/>
  <c r="H77" i="22" s="1"/>
  <c r="A203" i="22"/>
  <c r="A222" i="22"/>
  <c r="G35" i="22" a="1"/>
  <c r="G35" i="22" s="1"/>
  <c r="G29" i="22" a="1"/>
  <c r="G29" i="22" s="1"/>
  <c r="G53" i="22" a="1"/>
  <c r="G53" i="22" s="1"/>
  <c r="H52" i="22" a="1"/>
  <c r="H52" i="22" s="1"/>
  <c r="H51" i="22" a="1"/>
  <c r="H51" i="22" s="1"/>
  <c r="A51" i="22"/>
  <c r="G45" i="22" a="1"/>
  <c r="G45" i="22" s="1"/>
  <c r="H44" i="22" a="1"/>
  <c r="H44" i="22" s="1"/>
  <c r="G77" i="22" a="1"/>
  <c r="G77" i="22" s="1"/>
  <c r="G69" i="22" a="1"/>
  <c r="G69" i="22" s="1"/>
  <c r="G93" i="22" a="1"/>
  <c r="G93" i="22" s="1"/>
  <c r="H92" i="22" a="1"/>
  <c r="H92" i="22" s="1"/>
  <c r="H91" i="22" a="1"/>
  <c r="H91" i="22" s="1"/>
  <c r="G85" i="22" a="1"/>
  <c r="G85" i="22" s="1"/>
  <c r="L8" i="4" s="1"/>
  <c r="H84" i="22" a="1"/>
  <c r="H84" i="22" s="1"/>
  <c r="H83" i="22" a="1"/>
  <c r="H83" i="22" s="1"/>
  <c r="G109" i="22" a="1"/>
  <c r="G109" i="22" s="1"/>
  <c r="G101" i="22" a="1"/>
  <c r="G101" i="22" s="1"/>
  <c r="H210" i="22" a="1"/>
  <c r="H210" i="22" s="1"/>
  <c r="G209" i="22" a="1"/>
  <c r="G209" i="22" s="1"/>
  <c r="G36" i="22" a="1"/>
  <c r="G36" i="22" s="1"/>
  <c r="G30" i="22" a="1"/>
  <c r="G30" i="22" s="1"/>
  <c r="H39" i="22" a="1"/>
  <c r="H39" i="22" s="1"/>
  <c r="H38" i="22" a="1"/>
  <c r="H38" i="22" s="1"/>
  <c r="G34" i="22" a="1"/>
  <c r="G34" i="22" s="1"/>
  <c r="H33" i="22" a="1"/>
  <c r="H33" i="22" s="1"/>
  <c r="G28" i="22" a="1"/>
  <c r="G28" i="22" s="1"/>
  <c r="H27" i="22" a="1"/>
  <c r="H27" i="22" s="1"/>
  <c r="G52" i="22" a="1"/>
  <c r="G52" i="22" s="1"/>
  <c r="G76" i="22" a="1"/>
  <c r="G76" i="22" s="1"/>
  <c r="H75" i="22" a="1"/>
  <c r="H75" i="22" s="1"/>
  <c r="M17" i="4" s="1"/>
  <c r="H74" i="22" a="1"/>
  <c r="H74" i="22" s="1"/>
  <c r="M16" i="4" s="1"/>
  <c r="G68" i="22" a="1"/>
  <c r="G68" i="22" s="1"/>
  <c r="L10" i="4" s="1"/>
  <c r="H67" i="22" a="1"/>
  <c r="H67" i="22" s="1"/>
  <c r="H66" i="22" a="1"/>
  <c r="H66" i="22" s="1"/>
  <c r="M8" i="4" s="1"/>
  <c r="G92" i="22" a="1"/>
  <c r="G92" i="22" s="1"/>
  <c r="G84" i="22" a="1"/>
  <c r="G84" i="22" s="1"/>
  <c r="H115" i="22" a="1"/>
  <c r="H115" i="22" s="1"/>
  <c r="H114" i="22" a="1"/>
  <c r="H114" i="22" s="1"/>
  <c r="G108" i="22" a="1"/>
  <c r="G108" i="22" s="1"/>
  <c r="H107" i="22" a="1"/>
  <c r="H107" i="22" s="1"/>
  <c r="H106" i="22" a="1"/>
  <c r="H106" i="22" s="1"/>
  <c r="A184" i="22"/>
  <c r="G210" i="22" a="1"/>
  <c r="G210" i="22" s="1"/>
  <c r="H58" i="22" a="1"/>
  <c r="H58" i="22" s="1"/>
  <c r="H57" i="22" a="1"/>
  <c r="H57" i="22" s="1"/>
  <c r="G51" i="22" a="1"/>
  <c r="G51" i="22" s="1"/>
  <c r="H50" i="22" a="1"/>
  <c r="H50" i="22" s="1"/>
  <c r="G75" i="22" a="1"/>
  <c r="G75" i="22" s="1"/>
  <c r="G91" i="22" a="1"/>
  <c r="G91" i="22" s="1"/>
  <c r="H90" i="22" a="1"/>
  <c r="H90" i="22" s="1"/>
  <c r="H89" i="22" a="1"/>
  <c r="H89" i="22" s="1"/>
  <c r="A89" i="22"/>
  <c r="G83" i="22" a="1"/>
  <c r="G83" i="22" s="1"/>
  <c r="H191" i="22" a="1"/>
  <c r="H191" i="22" s="1"/>
  <c r="H190" i="22" a="1"/>
  <c r="H190" i="22" s="1"/>
  <c r="H189" i="22" a="1"/>
  <c r="H189" i="22" s="1"/>
  <c r="Y17" i="4" s="1"/>
  <c r="H188" i="22" a="1"/>
  <c r="H188" i="22" s="1"/>
  <c r="H187" i="22" a="1"/>
  <c r="H187" i="22" s="1"/>
  <c r="H186" i="22" a="1"/>
  <c r="H186" i="22" s="1"/>
  <c r="H185" i="22" a="1"/>
  <c r="H185" i="22" s="1"/>
  <c r="H184" i="22" a="1"/>
  <c r="H184" i="22" s="1"/>
  <c r="H181" i="22" a="1"/>
  <c r="H181" i="22" s="1"/>
  <c r="H180" i="22" a="1"/>
  <c r="H180" i="22" s="1"/>
  <c r="H178" i="22" a="1"/>
  <c r="H178" i="22" s="1"/>
  <c r="Y6" i="4" s="1"/>
  <c r="G227" i="22" a="1"/>
  <c r="G227" i="22" s="1"/>
  <c r="H226" i="22" a="1"/>
  <c r="H226" i="22" s="1"/>
  <c r="G223" i="22" a="1"/>
  <c r="G223" i="22" s="1"/>
  <c r="H222" i="22" a="1"/>
  <c r="H222" i="22" s="1"/>
  <c r="G219" i="22" a="1"/>
  <c r="G219" i="22" s="1"/>
  <c r="H218" i="22" a="1"/>
  <c r="H218" i="22" s="1"/>
  <c r="G215" i="22" a="1"/>
  <c r="G215" i="22" s="1"/>
  <c r="H229" i="22" a="1"/>
  <c r="H229" i="22" s="1"/>
  <c r="G226" i="22" a="1"/>
  <c r="G226" i="22" s="1"/>
  <c r="H225" i="22" a="1"/>
  <c r="H225" i="22" s="1"/>
  <c r="G222" i="22" a="1"/>
  <c r="G222" i="22" s="1"/>
  <c r="H221" i="22" a="1"/>
  <c r="H221" i="22" s="1"/>
  <c r="G218" i="22" a="1"/>
  <c r="G218" i="22" s="1"/>
  <c r="H217" i="22" a="1"/>
  <c r="H217" i="22" s="1"/>
  <c r="H228" i="22" a="1"/>
  <c r="H228" i="22" s="1"/>
  <c r="G225" i="22" a="1"/>
  <c r="G225" i="22" s="1"/>
  <c r="H224" i="22" a="1"/>
  <c r="H224" i="22" s="1"/>
  <c r="G221" i="22" a="1"/>
  <c r="G221" i="22" s="1"/>
  <c r="H220" i="22" a="1"/>
  <c r="H220" i="22" s="1"/>
  <c r="G217" i="22" a="1"/>
  <c r="G217" i="22" s="1"/>
  <c r="H216" i="22" a="1"/>
  <c r="H216" i="22" s="1"/>
  <c r="G228" i="22" a="1"/>
  <c r="G228" i="22" s="1"/>
  <c r="H227" i="22" a="1"/>
  <c r="H227" i="22" s="1"/>
  <c r="G224" i="22" a="1"/>
  <c r="G224" i="22" s="1"/>
  <c r="H223" i="22" a="1"/>
  <c r="H223" i="22" s="1"/>
  <c r="G220" i="22" a="1"/>
  <c r="G220" i="22" s="1"/>
  <c r="H219" i="22" a="1"/>
  <c r="H219" i="22" s="1"/>
  <c r="G216" i="22" a="1"/>
  <c r="G216" i="22" s="1"/>
  <c r="AB5" i="4"/>
  <c r="AC5" i="4"/>
  <c r="A12" i="4"/>
  <c r="A12" i="3"/>
  <c r="C6" i="8"/>
  <c r="C14" i="8"/>
  <c r="C9" i="8"/>
  <c r="C10" i="8"/>
  <c r="C11" i="8"/>
  <c r="C12" i="8"/>
  <c r="C7" i="8"/>
  <c r="C15" i="8"/>
  <c r="C8" i="8"/>
  <c r="C16" i="8"/>
  <c r="C17" i="8"/>
  <c r="C18" i="8"/>
  <c r="C19" i="8"/>
  <c r="C20" i="8"/>
  <c r="X14" i="4" l="1"/>
  <c r="Y16" i="4"/>
  <c r="Y7" i="4"/>
  <c r="Y18" i="4"/>
  <c r="Y9" i="4"/>
  <c r="Y10" i="4"/>
  <c r="X17" i="4"/>
  <c r="Y15" i="4"/>
  <c r="X12" i="4"/>
  <c r="X15" i="4"/>
  <c r="X8" i="4"/>
  <c r="X9" i="4"/>
  <c r="Y19" i="4"/>
  <c r="X16" i="4"/>
  <c r="Y12" i="4"/>
  <c r="Y13" i="4"/>
  <c r="X10" i="4"/>
  <c r="X18" i="4"/>
  <c r="X11" i="4"/>
  <c r="X19" i="4"/>
  <c r="Y8" i="4"/>
  <c r="Y14" i="4"/>
  <c r="X5" i="4"/>
  <c r="X13" i="4"/>
  <c r="O8" i="3"/>
  <c r="O9" i="3"/>
  <c r="S19" i="4"/>
  <c r="S15" i="4"/>
  <c r="R19" i="4"/>
  <c r="S14" i="4"/>
  <c r="R12" i="4"/>
  <c r="S13" i="4"/>
  <c r="R5" i="4"/>
  <c r="R18" i="4"/>
  <c r="R16" i="4"/>
  <c r="R10" i="4"/>
  <c r="R8" i="4"/>
  <c r="R7" i="4"/>
  <c r="R15" i="4"/>
  <c r="R6" i="4"/>
  <c r="S5" i="4"/>
  <c r="S12" i="4"/>
  <c r="S11" i="4"/>
  <c r="S9" i="4"/>
  <c r="S7" i="4"/>
  <c r="S17" i="4"/>
  <c r="S18" i="4"/>
  <c r="R14" i="4"/>
  <c r="S10" i="4"/>
  <c r="S6" i="4"/>
  <c r="S16" i="4"/>
  <c r="R17" i="4"/>
  <c r="R13" i="4"/>
  <c r="R11" i="4"/>
  <c r="R9" i="4"/>
  <c r="O18" i="3"/>
  <c r="O14" i="3"/>
  <c r="AH15" i="4"/>
  <c r="O13" i="3"/>
  <c r="M19" i="4"/>
  <c r="L15" i="4"/>
  <c r="O6" i="3"/>
  <c r="M15" i="4"/>
  <c r="L12" i="4"/>
  <c r="L17" i="4"/>
  <c r="L19" i="4"/>
  <c r="M10" i="4"/>
  <c r="O16" i="3"/>
  <c r="M9" i="4"/>
  <c r="L11" i="4"/>
  <c r="L14" i="4"/>
  <c r="L9" i="4"/>
  <c r="M11" i="4"/>
  <c r="M13" i="4"/>
  <c r="M7" i="4"/>
  <c r="M18" i="4"/>
  <c r="M5" i="4"/>
  <c r="M14" i="4"/>
  <c r="L18" i="4"/>
  <c r="AD18" i="4" s="1"/>
  <c r="L6" i="4"/>
  <c r="M12" i="4"/>
  <c r="L7" i="4"/>
  <c r="F5" i="3"/>
  <c r="M6" i="4"/>
  <c r="O10" i="3"/>
  <c r="L16" i="4"/>
  <c r="AH11" i="4"/>
  <c r="G5" i="4"/>
  <c r="F17" i="3"/>
  <c r="F13" i="3"/>
  <c r="F13" i="4"/>
  <c r="AH17" i="4"/>
  <c r="AH14" i="4"/>
  <c r="F17" i="4"/>
  <c r="F18" i="3"/>
  <c r="G12" i="4"/>
  <c r="H12" i="3"/>
  <c r="G15" i="4"/>
  <c r="AE15" i="4" s="1"/>
  <c r="H15" i="3"/>
  <c r="H18" i="3"/>
  <c r="G18" i="4"/>
  <c r="AH12" i="4"/>
  <c r="AH18" i="4"/>
  <c r="F5" i="4"/>
  <c r="F15" i="3"/>
  <c r="F15" i="4"/>
  <c r="AD15" i="4" s="1"/>
  <c r="F10" i="4"/>
  <c r="AD10" i="4" s="1"/>
  <c r="F10" i="3"/>
  <c r="H9" i="3"/>
  <c r="G9" i="4"/>
  <c r="F7" i="3"/>
  <c r="F7" i="4"/>
  <c r="F11" i="4"/>
  <c r="AD11" i="4" s="1"/>
  <c r="F11" i="3"/>
  <c r="H5" i="3"/>
  <c r="G11" i="4"/>
  <c r="AE11" i="4" s="1"/>
  <c r="H11" i="3"/>
  <c r="G14" i="4"/>
  <c r="AE14" i="4" s="1"/>
  <c r="H14" i="3"/>
  <c r="F6" i="3"/>
  <c r="F6" i="4"/>
  <c r="AD6" i="4" s="1"/>
  <c r="G6" i="4"/>
  <c r="AE6" i="4" s="1"/>
  <c r="H6" i="3"/>
  <c r="H10" i="3"/>
  <c r="G10" i="4"/>
  <c r="AE10" i="4" s="1"/>
  <c r="F9" i="3"/>
  <c r="F9" i="4"/>
  <c r="AD9" i="4" s="1"/>
  <c r="AH13" i="4"/>
  <c r="AH6" i="4"/>
  <c r="H8" i="3"/>
  <c r="G8" i="4"/>
  <c r="AE8" i="4" s="1"/>
  <c r="F14" i="3"/>
  <c r="F14" i="4"/>
  <c r="AD14" i="4" s="1"/>
  <c r="F16" i="3"/>
  <c r="F16" i="4"/>
  <c r="AD16" i="4" s="1"/>
  <c r="G13" i="4"/>
  <c r="AE13" i="4" s="1"/>
  <c r="H13" i="3"/>
  <c r="H19" i="3"/>
  <c r="G19" i="4"/>
  <c r="AE19" i="4" s="1"/>
  <c r="F8" i="3"/>
  <c r="F8" i="4"/>
  <c r="AD8" i="4" s="1"/>
  <c r="F12" i="4"/>
  <c r="AD12" i="4" s="1"/>
  <c r="F12" i="3"/>
  <c r="G7" i="4"/>
  <c r="AE7" i="4" s="1"/>
  <c r="H7" i="3"/>
  <c r="F19" i="4"/>
  <c r="AD19" i="4" s="1"/>
  <c r="F19" i="3"/>
  <c r="H17" i="3"/>
  <c r="G17" i="4"/>
  <c r="AE17" i="4" s="1"/>
  <c r="H16" i="3"/>
  <c r="G16" i="4"/>
  <c r="AE16" i="4" s="1"/>
  <c r="AH16" i="4"/>
  <c r="AH10" i="4"/>
  <c r="AH9" i="4"/>
  <c r="AH19" i="4"/>
  <c r="AH7" i="4"/>
  <c r="AH8" i="4"/>
  <c r="AH5" i="4"/>
  <c r="A229" i="22"/>
  <c r="A191" i="22"/>
  <c r="A153" i="22"/>
  <c r="A58" i="22"/>
  <c r="A115" i="22"/>
  <c r="A39" i="22"/>
  <c r="A20" i="22"/>
  <c r="A210" i="22"/>
  <c r="A77" i="22"/>
  <c r="A134" i="22"/>
  <c r="A172" i="22"/>
  <c r="A96" i="22"/>
  <c r="A227" i="22"/>
  <c r="A208" i="22"/>
  <c r="A113" i="22"/>
  <c r="A189" i="22"/>
  <c r="A75" i="22"/>
  <c r="A132" i="22"/>
  <c r="A94" i="22"/>
  <c r="A170" i="22"/>
  <c r="A18" i="22"/>
  <c r="A151" i="22"/>
  <c r="A56" i="22"/>
  <c r="A37" i="22"/>
  <c r="A216" i="22"/>
  <c r="A197" i="22"/>
  <c r="A121" i="22"/>
  <c r="A178" i="22"/>
  <c r="A26" i="22"/>
  <c r="A83" i="22"/>
  <c r="A7" i="22"/>
  <c r="A45" i="22"/>
  <c r="A140" i="22"/>
  <c r="A102" i="22"/>
  <c r="A159" i="22"/>
  <c r="A64" i="22"/>
  <c r="A202" i="22"/>
  <c r="A221" i="22"/>
  <c r="A183" i="22"/>
  <c r="A50" i="22"/>
  <c r="A12" i="22"/>
  <c r="A107" i="22"/>
  <c r="A69" i="22"/>
  <c r="A145" i="22"/>
  <c r="A126" i="22"/>
  <c r="A164" i="22"/>
  <c r="A31" i="22"/>
  <c r="A88" i="22"/>
  <c r="A228" i="22"/>
  <c r="A209" i="22"/>
  <c r="A152" i="22"/>
  <c r="A57" i="22"/>
  <c r="A190" i="22"/>
  <c r="A114" i="22"/>
  <c r="A38" i="22"/>
  <c r="A19" i="22"/>
  <c r="A76" i="22"/>
  <c r="A133" i="22"/>
  <c r="A171" i="22"/>
  <c r="A95" i="22"/>
  <c r="A220" i="22"/>
  <c r="A201" i="22"/>
  <c r="A49" i="22"/>
  <c r="A182" i="22"/>
  <c r="A106" i="22"/>
  <c r="A11" i="22"/>
  <c r="A68" i="22"/>
  <c r="A30" i="22"/>
  <c r="A125" i="22"/>
  <c r="A144" i="22"/>
  <c r="A163" i="22"/>
  <c r="A87" i="22"/>
  <c r="A219" i="22"/>
  <c r="A200" i="22"/>
  <c r="A105" i="22"/>
  <c r="A181" i="22"/>
  <c r="A67" i="22"/>
  <c r="A124" i="22"/>
  <c r="A29" i="22"/>
  <c r="A143" i="22"/>
  <c r="A86" i="22"/>
  <c r="A162" i="22"/>
  <c r="A10" i="22"/>
  <c r="A48" i="22"/>
  <c r="A226" i="22"/>
  <c r="A207" i="22"/>
  <c r="A188" i="22"/>
  <c r="A74" i="22"/>
  <c r="A131" i="22"/>
  <c r="A93" i="22"/>
  <c r="A36" i="22"/>
  <c r="A169" i="22"/>
  <c r="A17" i="22"/>
  <c r="A150" i="22"/>
  <c r="A112" i="22"/>
  <c r="A55" i="22"/>
  <c r="A206" i="22"/>
  <c r="A225" i="22"/>
  <c r="A73" i="22"/>
  <c r="A187" i="22"/>
  <c r="A130" i="22"/>
  <c r="A92" i="22"/>
  <c r="A16" i="22"/>
  <c r="A35" i="22"/>
  <c r="A54" i="22"/>
  <c r="A168" i="22"/>
  <c r="A149" i="22"/>
  <c r="A111" i="22"/>
  <c r="A198" i="22"/>
  <c r="A217" i="22"/>
  <c r="A65" i="22"/>
  <c r="A179" i="22"/>
  <c r="A122" i="22"/>
  <c r="A46" i="22"/>
  <c r="A27" i="22"/>
  <c r="A84" i="22"/>
  <c r="A8" i="22"/>
  <c r="A141" i="22"/>
  <c r="A160" i="22"/>
  <c r="A103" i="22"/>
  <c r="A199" i="22"/>
  <c r="A218" i="22"/>
  <c r="A180" i="22"/>
  <c r="A66" i="22"/>
  <c r="A123" i="22"/>
  <c r="A28" i="22"/>
  <c r="A85" i="22"/>
  <c r="A142" i="22"/>
  <c r="A161" i="22"/>
  <c r="A9" i="22"/>
  <c r="A104" i="22"/>
  <c r="A47" i="22"/>
  <c r="A223" i="22"/>
  <c r="A204" i="22"/>
  <c r="A185" i="22"/>
  <c r="A90" i="22"/>
  <c r="A33" i="22"/>
  <c r="A52" i="22"/>
  <c r="A109" i="22"/>
  <c r="A147" i="22"/>
  <c r="A166" i="22"/>
  <c r="A128" i="22"/>
  <c r="A71" i="22"/>
  <c r="A14" i="22"/>
  <c r="A215" i="22"/>
  <c r="A196" i="22"/>
  <c r="A25" i="22"/>
  <c r="A177" i="22"/>
  <c r="A82" i="22"/>
  <c r="A6" i="22"/>
  <c r="A44" i="22"/>
  <c r="A101" i="22"/>
  <c r="A139" i="22"/>
  <c r="A158" i="22"/>
  <c r="A63" i="22"/>
  <c r="A120" i="22"/>
  <c r="A224" i="22"/>
  <c r="A205" i="22"/>
  <c r="A129" i="22"/>
  <c r="A186" i="22"/>
  <c r="A15" i="22"/>
  <c r="A91" i="22"/>
  <c r="A34" i="22"/>
  <c r="A53" i="22"/>
  <c r="A110" i="22"/>
  <c r="A148" i="22"/>
  <c r="A167" i="22"/>
  <c r="A72" i="22"/>
  <c r="O5" i="3"/>
  <c r="AD5" i="4"/>
  <c r="AE5" i="4"/>
  <c r="A19" i="3"/>
  <c r="A19" i="4"/>
  <c r="A18" i="3"/>
  <c r="A18" i="4"/>
  <c r="A17" i="3"/>
  <c r="A17" i="4"/>
  <c r="A16" i="3"/>
  <c r="A16" i="4"/>
  <c r="A15" i="3"/>
  <c r="A15" i="4"/>
  <c r="A14" i="3"/>
  <c r="A14" i="4"/>
  <c r="A13" i="3"/>
  <c r="A13" i="4"/>
  <c r="A11" i="3"/>
  <c r="A11" i="4"/>
  <c r="A10" i="3"/>
  <c r="A10" i="4"/>
  <c r="A9" i="3"/>
  <c r="A9" i="4"/>
  <c r="A8" i="3"/>
  <c r="A8" i="4"/>
  <c r="A7" i="3"/>
  <c r="A7" i="4"/>
  <c r="A6" i="3"/>
  <c r="A6" i="4"/>
  <c r="A5" i="3"/>
  <c r="A5" i="4"/>
  <c r="AD13" i="4" l="1"/>
  <c r="AE9" i="4"/>
  <c r="AD17" i="4"/>
  <c r="AE18" i="4"/>
  <c r="AD7" i="4"/>
  <c r="AE12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K10" i="3"/>
  <c r="L10" i="3" s="1"/>
  <c r="K13" i="3"/>
  <c r="L13" i="3" s="1"/>
  <c r="K12" i="3"/>
  <c r="L12" i="3" s="1"/>
  <c r="K14" i="3"/>
  <c r="L14" i="3" s="1"/>
  <c r="K16" i="3"/>
  <c r="L16" i="3" s="1"/>
  <c r="K6" i="3"/>
  <c r="L6" i="3" s="1"/>
  <c r="K9" i="3"/>
  <c r="L9" i="3" s="1"/>
  <c r="AG5" i="4"/>
  <c r="K5" i="3"/>
  <c r="L5" i="3" s="1"/>
  <c r="K15" i="3"/>
  <c r="L15" i="3" s="1"/>
  <c r="K7" i="3"/>
  <c r="L7" i="3" s="1"/>
  <c r="K17" i="3"/>
  <c r="L17" i="3" s="1"/>
  <c r="K8" i="3"/>
  <c r="L8" i="3" s="1"/>
  <c r="K18" i="3"/>
  <c r="L18" i="3" s="1"/>
  <c r="K19" i="3"/>
  <c r="L19" i="3" s="1"/>
  <c r="K11" i="3"/>
  <c r="L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3" authorId="0" shapeId="0" xr:uid="{3598B64B-1167-5D46-8190-BD319D6C24F3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Se calcula solo con la fecha de hoy. El año académico va de junio a mayo.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21" authorId="0" shapeId="0" xr:uid="{CF46B434-FA7C-B441-8523-AC71A2BFD74C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Diferencia máxima de guardias permitida entre residentes del mismo nivel. Editable.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<sst xmlns="http://schemas.openxmlformats.org/spreadsheetml/2006/main" count="357" uniqueCount="156">
  <si>
    <t>G</t>
  </si>
  <si>
    <t>GF</t>
  </si>
  <si>
    <t>Guardia Festiva</t>
  </si>
  <si>
    <t>3P</t>
  </si>
  <si>
    <t>V</t>
  </si>
  <si>
    <t>Vacaciones</t>
  </si>
  <si>
    <t>R</t>
  </si>
  <si>
    <t>B</t>
  </si>
  <si>
    <t>Baja</t>
  </si>
  <si>
    <t>Año</t>
  </si>
  <si>
    <t>Residente</t>
  </si>
  <si>
    <t>G
Total</t>
  </si>
  <si>
    <t>GF
Total</t>
  </si>
  <si>
    <t>3P
Total</t>
  </si>
  <si>
    <t>Fines
Semana</t>
  </si>
  <si>
    <t>Dobl.
V-D</t>
  </si>
  <si>
    <t>R4</t>
  </si>
  <si>
    <t>Olatz Lopetegui</t>
  </si>
  <si>
    <t>Sarai Moliner</t>
  </si>
  <si>
    <t>Rocío Cutillas</t>
  </si>
  <si>
    <t>R3</t>
  </si>
  <si>
    <t>Emi Tumbarello</t>
  </si>
  <si>
    <t>Teresa Mateo</t>
  </si>
  <si>
    <t>Elena Sansano</t>
  </si>
  <si>
    <t>Enrique Montiel</t>
  </si>
  <si>
    <t>R2</t>
  </si>
  <si>
    <t>Fran Zomosa</t>
  </si>
  <si>
    <t>Agus Lagioiosa</t>
  </si>
  <si>
    <t>Elena Bonastre</t>
  </si>
  <si>
    <t>María Armengol</t>
  </si>
  <si>
    <t>R1</t>
  </si>
  <si>
    <t>Jaime Normand</t>
  </si>
  <si>
    <t>Stephanie Aparicio</t>
  </si>
  <si>
    <t>Marta Martínez</t>
  </si>
  <si>
    <t>Manuel Cortés</t>
  </si>
  <si>
    <t>RESUMEN ANUAL · RADIODIAGNÓSTICO · Hospital Dr. Balmis · 2025-2026</t>
  </si>
  <si>
    <t>Festivos
(GF días)</t>
  </si>
  <si>
    <t>Dobletes
V-D</t>
  </si>
  <si>
    <t>Cedidas</t>
  </si>
  <si>
    <t>Compradas</t>
  </si>
  <si>
    <t>Dif.máx.
vs.compañero</t>
  </si>
  <si>
    <t>✔ Equidad</t>
  </si>
  <si>
    <t>CONTAJE TRIMESTRAL · RADIODIAGNÓSTICO · Hospital Dr. Balmis</t>
  </si>
  <si>
    <t>T1 (Jun-Ago)</t>
  </si>
  <si>
    <t>T2 (Sep-Nov)</t>
  </si>
  <si>
    <t>T3 (Dic-Feb)</t>
  </si>
  <si>
    <t>T4 (Mar-May)</t>
  </si>
  <si>
    <t>TOTAL ANUAL</t>
  </si>
  <si>
    <t>Dif.máx.
(≤1?)</t>
  </si>
  <si>
    <t>FS</t>
  </si>
  <si>
    <t>Dobl</t>
  </si>
  <si>
    <t>REGISTRO DE TERCER PUESTO (VOLUNTARIO) · Radiodiagnóstico · Dr. Balmis</t>
  </si>
  <si>
    <t>Lista rotatoria: cubrir L-M-X-J-V-S-D antes de repetir el mismo día.  Diferencia máx. entre voluntarios: 1</t>
  </si>
  <si>
    <t>Voluntario</t>
  </si>
  <si>
    <t>Total 3P</t>
  </si>
  <si>
    <t>3P-L</t>
  </si>
  <si>
    <t>3P-M</t>
  </si>
  <si>
    <t>3P-X</t>
  </si>
  <si>
    <t>3P-J</t>
  </si>
  <si>
    <t>3P-V</t>
  </si>
  <si>
    <t>3P-S</t>
  </si>
  <si>
    <t>3P-D</t>
  </si>
  <si>
    <t>Obs.</t>
  </si>
  <si>
    <t>No</t>
  </si>
  <si>
    <t>LISTA DE IMAGINARIA · Radiodiagnóstico · Dr. Balmis</t>
  </si>
  <si>
    <t>Las guardias de imaginaria NO descuentan del contaje de equidad. Dos listas independientes: Mayores (R3/R4) y Pequeños (R1/R2).</t>
  </si>
  <si>
    <t>IMAGINARIA — RESIDENTES MAYORES (R3 / R4)</t>
  </si>
  <si>
    <t>Pos.</t>
  </si>
  <si>
    <t>Llamadas
cubiertas</t>
  </si>
  <si>
    <t>Última
fecha</t>
  </si>
  <si>
    <t>Próx. vez</t>
  </si>
  <si>
    <t>IMAGINARIA — RESIDENTES PEQUEÑOS (R1 / R2)</t>
  </si>
  <si>
    <t>INSTRUCCIONES DE USO · Excel de Guardias · Dr. Balmis</t>
  </si>
  <si>
    <t>FLUJO DE TRABAJO MENSUAL</t>
  </si>
  <si>
    <t>section</t>
  </si>
  <si>
    <t>1</t>
  </si>
  <si>
    <t>2</t>
  </si>
  <si>
    <t>3</t>
  </si>
  <si>
    <t>CÓDIGOS DE ENTRADA</t>
  </si>
  <si>
    <t>Guardia ordinaria</t>
  </si>
  <si>
    <t>Guardia de día de semana normal.</t>
  </si>
  <si>
    <t>Guardia en día festivo o puente. Cuenta como guardia festiva en el contaje de equidad.</t>
  </si>
  <si>
    <t>Tercer Puesto (voluntario)</t>
  </si>
  <si>
    <t>Solo para guardias voluntarias de tercer puesto. No modifica la equidad obligatoria.</t>
  </si>
  <si>
    <t>El residente está de vacaciones ese día.</t>
  </si>
  <si>
    <t>Rotación externa</t>
  </si>
  <si>
    <t>El residente está en rotación externa.</t>
  </si>
  <si>
    <t>Baja médica o IT. Se descuenta proporcionalmente para el cálculo de equidad.</t>
  </si>
  <si>
    <t>NORMAS CLAVE</t>
  </si>
  <si>
    <t>Equidad</t>
  </si>
  <si>
    <t>Diferencia máx. ≤ 1</t>
  </si>
  <si>
    <t>Al cerrar el año de residencia, la diferencia de guardias totales, fines de semana y festivos entre residentes del mismo año no puede superar 1.</t>
  </si>
  <si>
    <t>Mensual</t>
  </si>
  <si>
    <t>Mínimo 4 / Máximo 6</t>
  </si>
  <si>
    <t>Cada residente debe tener entre 4 y 6 guardias al mes (excepto febrero y periodos vacacionales).</t>
  </si>
  <si>
    <t>Dobletes V-D</t>
  </si>
  <si>
    <t>Priorizar viernes-domingo frente a sábado. La diferencia de dobletes acumulados entre compañeros del mismo año no puede superar 1.</t>
  </si>
  <si>
    <t>Rotaciones ext.</t>
  </si>
  <si>
    <t>Máx. 2 del mismo año</t>
  </si>
  <si>
    <t>No pueden coincidir más de 2 residentes del mismo año en rotación externa simultáneamente.</t>
  </si>
  <si>
    <t>Tercer puesto</t>
  </si>
  <si>
    <t>Voluntario, rotatorio</t>
  </si>
  <si>
    <t>L→M→X→J→V→S→D antes de repetir día. Voluntarios prioritarios cuando hay R1 en guardia ('mochila').</t>
  </si>
  <si>
    <t>Responsable</t>
  </si>
  <si>
    <t>R3 de turno</t>
  </si>
  <si>
    <t>Comunica contaje a tutoría al cerrar cada trimestre y envía cuadrante definitivo a Raquel (Coordinación Técnicos).</t>
  </si>
  <si>
    <t>Imaginaria</t>
  </si>
  <si>
    <t>Dos listas separadas</t>
  </si>
  <si>
    <t>Mayores (R3/R4) y Pequeños (R1/R2). Las incidencias cubiertas NO descuentan del contaje de equidad ni de imaginaria.</t>
  </si>
  <si>
    <t>GP
Total</t>
  </si>
  <si>
    <t>GP</t>
  </si>
  <si>
    <t>Guardia Prefestivo</t>
  </si>
  <si>
    <t>Guardia el día antes de un festivo/puente. Se marca a mano igual que GF. Cuenta como guardia para fines de semana y dobletes.</t>
  </si>
  <si>
    <t>RESIDENTES · RADIODIAGNÓSTICO · Hospital Dr. Balmis</t>
  </si>
  <si>
    <t>Lista central: todas las hojas toman los nombres y niveles de aquí. Cada junio los niveles suben solos. Al cambiar de año: borra los finalizados, añade los nuevos R1 con su año de entrada.</t>
  </si>
  <si>
    <t>Año académico actual (inicia en junio):</t>
  </si>
  <si>
    <t>Año de entrada</t>
  </si>
  <si>
    <t>Nivel actual</t>
  </si>
  <si>
    <t>Observaciones</t>
  </si>
  <si>
    <t>Dif. máx. permitida:</t>
  </si>
  <si>
    <t>Total
(G+GF+GP)</t>
  </si>
  <si>
    <t>Se actualiza automáticamente con las hojas de mes. Diferencia máx. permitida en B21.</t>
  </si>
  <si>
    <t>carga</t>
  </si>
  <si>
    <t>Actualización automática</t>
  </si>
  <si>
    <t>Hoja Residentes</t>
  </si>
  <si>
    <t>Lista central con el AÑO DE ENTRADA de cada residente. El nivel R1-R4 se calcula solo con la fecha; cada junio todos ascienden automáticamente.</t>
  </si>
  <si>
    <t>Cambio de curso</t>
  </si>
  <si>
    <t>Al terminar el curso: en la hoja Residentes borra los que finalizan (R4) y añade los nuevos R1 con su año de entrada. Todo el libro se actualiza. Guarda antes una copia como histórico.</t>
  </si>
  <si>
    <t>Sin botones</t>
  </si>
  <si>
    <t>Los botones y macros antiguos ya no son necesarios. La hoja 'Cuadrante Mensual' original puede eliminarse cuando lo confirmes.</t>
  </si>
  <si>
    <t>Meses</t>
  </si>
  <si>
    <t>Niveles</t>
  </si>
  <si>
    <t>Anual</t>
  </si>
  <si>
    <t>Limpieza</t>
  </si>
  <si>
    <t>CUADRANTE ANUAL DE GUARDIAS · Radiodiagnóstico · Hospital Dr. Balmis</t>
  </si>
  <si>
    <t>Ir a:</t>
  </si>
  <si>
    <t>Jun</t>
  </si>
  <si>
    <t>Jul</t>
  </si>
  <si>
    <t>Ago</t>
  </si>
  <si>
    <t>Sep</t>
  </si>
  <si>
    <t>Oct</t>
  </si>
  <si>
    <t>Nov</t>
  </si>
  <si>
    <t>Dic</t>
  </si>
  <si>
    <t>Ene</t>
  </si>
  <si>
    <t>Feb</t>
  </si>
  <si>
    <t>Mar</t>
  </si>
  <si>
    <t>Abr</t>
  </si>
  <si>
    <t>May</t>
  </si>
  <si>
    <t>Hoja Cuadrante Anual</t>
  </si>
  <si>
    <t>Todos los meses (Junio→Mayo) están en UNA sola hoja, en bloques apilados. Usa la barra 'Ir a:' (fila 2) o desplázate. Escribe las guardias en la rejilla de días de cada mes. Códigos: G, GF, GP, 3P, V, R, B (desplegable).</t>
  </si>
  <si>
    <t>Se calcula solo</t>
  </si>
  <si>
    <t>El calendario (días y días de la semana), los totales por mes y los nombres/niveles se calculan solos desde la fecha de cada bloque y la hoja Residentes.</t>
  </si>
  <si>
    <t>1 hoja 'Cuadrante Anual' con los 12 meses en bloques. Cada mes conserva sus datos; nada se sobrescribe.</t>
  </si>
  <si>
    <t>ESTRUCTURA (SIN MACROS, 1 HOJA DE MESES)</t>
  </si>
  <si>
    <t>Resumen Anual y Contaje Trimestral se actualizan solos mediante fórmulas que suman los bloques de la hoja Cuadrante Anual. Ya no hace falta pulsar 'Recalcular'.</t>
  </si>
  <si>
    <t>Hoja de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</si>
</sst>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25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95959"/>
      <name val="Arial"/>
      <family val="2"/>
    </font>
    <font>
      <b/>
      <sz val="8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008000"/>
      <name val="Arial"/>
      <family val="2"/>
    </font>
    <font>
      <b/>
      <sz val="9"/>
      <color rgb="FF494949"/>
      <name val="Arial"/>
      <family val="2"/>
    </font>
    <font>
      <b/>
      <sz val="9"/>
      <color rgb="FF2B2B2B"/>
      <name val="Arial"/>
      <family val="2"/>
    </font>
    <font>
      <b/>
      <sz val="10"/>
      <color rgb="FF2B2B2B"/>
      <name val="Arial"/>
      <family val="2"/>
    </font>
    <font>
      <u/>
      <sz val="11"/>
      <color theme="10"/>
      <name val="Calibri"/>
      <family val="2"/>
      <charset val="1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9"/>
      <color rgb="FF0000FF"/>
      <name val="Arial"/>
      <family val="2"/>
    </font>
    <font>
      <sz val="8"/>
      <color theme="1"/>
      <name val="Arial"/>
      <family val="2"/>
    </font>
    <font>
      <b/>
      <sz val="9"/>
      <color rgb="FF0000FF"/>
      <name val="Arial"/>
      <family val="2"/>
    </font>
    <font>
      <b/>
      <sz val="8"/>
      <color theme="1"/>
      <name val="Arial"/>
      <family val="2"/>
    </font>
    <font>
      <b/>
      <sz val="7"/>
      <color rgb="FFBFBFBF"/>
      <name val="Arial"/>
      <family val="2"/>
    </font>
    <font>
      <b/>
      <sz val="12"/>
      <color rgb="FFFFFFFF"/>
      <name val="Arial"/>
      <family val="2"/>
    </font>
    <font>
      <u/>
      <sz val="8"/>
      <color theme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203864"/>
        <bgColor rgb="FF1F4E79"/>
      </patternFill>
    </fill>
    <fill>
      <patternFill patternType="solid">
        <fgColor rgb="FFDEEAF1"/>
        <bgColor rgb="FFE2EFDA"/>
      </patternFill>
    </fill>
    <fill>
      <patternFill patternType="solid">
        <fgColor rgb="FFFFE699"/>
        <bgColor rgb="FFFCE4D6"/>
      </patternFill>
    </fill>
    <fill>
      <patternFill patternType="solid">
        <fgColor rgb="FFE2EFDA"/>
        <bgColor rgb="FFDEEAF1"/>
      </patternFill>
    </fill>
    <fill>
      <patternFill patternType="solid">
        <fgColor rgb="FFFFFFFF"/>
        <bgColor rgb="FFEBF3FB"/>
      </patternFill>
    </fill>
    <fill>
      <patternFill patternType="solid">
        <fgColor rgb="FF1F4E79"/>
        <bgColor rgb="FF203864"/>
      </patternFill>
    </fill>
    <fill>
      <patternFill patternType="solid">
        <fgColor rgb="FFEBF3FB"/>
        <bgColor rgb="FFDEEAF1"/>
      </patternFill>
    </fill>
    <fill>
      <patternFill patternType="solid">
        <fgColor rgb="FF2E75B6"/>
        <bgColor rgb="FF4472C4"/>
      </patternFill>
    </fill>
    <fill>
      <patternFill patternType="solid">
        <fgColor rgb="FF5BA3D0"/>
        <bgColor rgb="FF3A86C8"/>
      </patternFill>
    </fill>
    <fill>
      <patternFill patternType="solid">
        <fgColor rgb="FF9DC3E6"/>
        <bgColor rgb="FFBFBFBF"/>
      </patternFill>
    </fill>
    <fill>
      <patternFill patternType="solid">
        <fgColor rgb="FF3A86C8"/>
        <bgColor rgb="FF2E75B6"/>
      </patternFill>
    </fill>
    <fill>
      <patternFill patternType="solid">
        <fgColor rgb="FF20386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3A86C8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BF3FB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8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0" fillId="2" borderId="0" xfId="0" applyFill="1"/>
    <xf numFmtId="0" fontId="3" fillId="10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wrapText="1"/>
    </xf>
    <xf numFmtId="0" fontId="7" fillId="18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center"/>
    </xf>
    <xf numFmtId="0" fontId="0" fillId="13" borderId="0" xfId="0" applyFill="1"/>
    <xf numFmtId="0" fontId="6" fillId="0" borderId="0" xfId="0" applyFont="1"/>
    <xf numFmtId="0" fontId="15" fillId="19" borderId="0" xfId="0" applyFont="1" applyFill="1"/>
    <xf numFmtId="1" fontId="15" fillId="20" borderId="0" xfId="0" applyNumberFormat="1" applyFont="1" applyFill="1" applyAlignment="1">
      <alignment horizontal="center"/>
    </xf>
    <xf numFmtId="0" fontId="18" fillId="0" borderId="4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14" fillId="0" borderId="4" xfId="0" applyFont="1" applyBorder="1"/>
    <xf numFmtId="0" fontId="19" fillId="0" borderId="4" xfId="0" applyFont="1" applyBorder="1"/>
    <xf numFmtId="0" fontId="21" fillId="0" borderId="0" xfId="0" applyFont="1"/>
    <xf numFmtId="0" fontId="0" fillId="0" borderId="1" xfId="0" applyBorder="1"/>
    <xf numFmtId="0" fontId="21" fillId="21" borderId="1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/>
    </xf>
    <xf numFmtId="0" fontId="20" fillId="20" borderId="0" xfId="0" applyFont="1" applyFill="1" applyAlignment="1">
      <alignment horizontal="center"/>
    </xf>
    <xf numFmtId="0" fontId="14" fillId="23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4" fillId="22" borderId="1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14" fillId="20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0" fontId="9" fillId="19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center" wrapText="1"/>
    </xf>
    <xf numFmtId="0" fontId="14" fillId="2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/>
    </xf>
    <xf numFmtId="0" fontId="14" fillId="24" borderId="1" xfId="0" applyFont="1" applyFill="1" applyBorder="1" applyAlignment="1">
      <alignment horizontal="center" vertical="center"/>
    </xf>
    <xf numFmtId="0" fontId="15" fillId="22" borderId="1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 wrapText="1"/>
    </xf>
    <xf numFmtId="0" fontId="0" fillId="17" borderId="0" xfId="0" applyFill="1"/>
    <xf numFmtId="164" fontId="23" fillId="17" borderId="0" xfId="0" applyNumberFormat="1" applyFont="1" applyFill="1"/>
    <xf numFmtId="0" fontId="19" fillId="0" borderId="1" xfId="0" applyFont="1" applyBorder="1" applyAlignment="1">
      <alignment horizontal="center" vertical="center"/>
    </xf>
    <xf numFmtId="0" fontId="23" fillId="13" borderId="0" xfId="0" applyFont="1" applyFill="1"/>
    <xf numFmtId="0" fontId="24" fillId="19" borderId="0" xfId="1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6" borderId="3" xfId="0" applyFont="1" applyFill="1" applyBorder="1" applyAlignment="1">
      <alignment horizontal="center" vertical="center" wrapText="1"/>
    </xf>
    <xf numFmtId="0" fontId="3" fillId="16" borderId="5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3" fillId="17" borderId="3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3" fillId="17" borderId="6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99"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C00000"/>
      </font>
      <fill>
        <patternFill patternType="solid">
          <fgColor indexed="64"/>
          <bgColor rgb="FFF8CBAD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ill>
        <patternFill patternType="solid">
          <fgColor indexed="64"/>
          <bgColor rgb="FFEEF6E9"/>
        </patternFill>
      </fill>
    </dxf>
    <dxf>
      <fill>
        <patternFill patternType="solid">
          <fgColor indexed="64"/>
          <bgColor rgb="FFC5E0B4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0000"/>
      </font>
      <fill>
        <patternFill patternType="solid">
          <fgColor indexed="64"/>
          <bgColor rgb="FF9DC3E6"/>
        </patternFill>
      </fill>
    </dxf>
    <dxf>
      <font>
        <color rgb="FFFFFFFF"/>
      </font>
      <fill>
        <patternFill patternType="solid">
          <fgColor indexed="64"/>
          <bgColor rgb="FF5BA3D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F4E7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5BA3D0"/>
      <rgbColor rgb="FF993366"/>
      <rgbColor rgb="FFE2EFDA"/>
      <rgbColor rgb="FFEBF3FB"/>
      <rgbColor rgb="FF660066"/>
      <rgbColor rgb="FFFF8080"/>
      <rgbColor rgb="FF2E75B6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EAF1"/>
      <rgbColor rgb="FFC6EFCE"/>
      <rgbColor rgb="FFFFE699"/>
      <rgbColor rgb="FF9DC3E6"/>
      <rgbColor rgb="FFFF99CC"/>
      <rgbColor rgb="FFCC99FF"/>
      <rgbColor rgb="FFFCE4D6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203864"/>
      <rgbColor rgb="FF3A86C8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D97D660-6251-5447-B3EC-1CEF92E3FB79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a17d43c6-0b10-4752-a98b-d81e154295fd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D31A6-6D3A-144C-938F-F6497F61C331}">
  <dimension ref="A1:AM230"/>
  <sheetViews>
    <sheetView tabSelected="1" topLeftCell="C3" workbookViewId="0">
      <pane xSplit="1" ySplit="1" topLeftCell="D21" activePane="bottomRight" state="frozen"/>
      <selection activeCell="C3" sqref="C3"/>
      <selection pane="topRight" activeCell="D3" sqref="D3"/>
      <selection pane="bottomLeft" activeCell="C4" sqref="C4"/>
      <selection pane="bottomRight" activeCell="D230" sqref="A230:XFD230"/>
    </sheetView>
  </sheetViews>
  <sheetFormatPr baseColWidth="10" defaultRowHeight="15" outlineLevelRow="1" x14ac:dyDescent="0.2"/>
  <cols>
    <col min="1" max="1" width="5.6640625" customWidth="1"/>
    <col min="2" max="2" width="18.33203125" customWidth="1"/>
    <col min="3" max="8" width="7" customWidth="1"/>
    <col min="9" max="39" width="3.6640625" customWidth="1"/>
  </cols>
  <sheetData>
    <row r="1" spans="1:39" ht="20" customHeight="1" x14ac:dyDescent="0.2">
      <c r="A1" s="63" t="s">
        <v>134</v>
      </c>
      <c r="B1" s="27"/>
      <c r="C1" s="27"/>
      <c r="D1" s="27"/>
      <c r="E1" s="27"/>
      <c r="F1" s="27"/>
      <c r="G1" s="27"/>
      <c r="H1" s="27"/>
    </row>
    <row r="2" spans="1:39" ht="16" customHeight="1" x14ac:dyDescent="0.2">
      <c r="A2" s="36" t="s">
        <v>135</v>
      </c>
      <c r="B2" s="64" t="s">
        <v>136</v>
      </c>
      <c r="C2" s="64" t="s">
        <v>137</v>
      </c>
      <c r="D2" s="64" t="s">
        <v>138</v>
      </c>
      <c r="E2" s="64" t="s">
        <v>139</v>
      </c>
      <c r="F2" s="64" t="s">
        <v>140</v>
      </c>
      <c r="G2" s="64" t="s">
        <v>141</v>
      </c>
      <c r="H2" s="64" t="s">
        <v>142</v>
      </c>
      <c r="I2" s="64" t="s">
        <v>143</v>
      </c>
      <c r="J2" s="64" t="s">
        <v>144</v>
      </c>
      <c r="K2" s="64" t="s">
        <v>145</v>
      </c>
      <c r="L2" s="64" t="s">
        <v>146</v>
      </c>
      <c r="M2" s="64" t="s">
        <v>147</v>
      </c>
    </row>
    <row r="3" spans="1:39" ht="37" customHeight="1" x14ac:dyDescent="0.2">
      <c r="A3" s="61">
        <v>46174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</row>
    <row r="4" spans="1:39" ht="24" hidden="1" customHeight="1" outlineLevel="1" x14ac:dyDescent="0.2">
      <c r="A4" s="25" t="s">
        <v>9</v>
      </c>
      <c r="B4" s="25" t="s">
        <v>10</v>
      </c>
      <c r="C4" s="25" t="s">
        <v>11</v>
      </c>
      <c r="D4" s="25" t="s">
        <v>12</v>
      </c>
      <c r="E4" s="25" t="s">
        <v>109</v>
      </c>
      <c r="F4" s="25" t="s">
        <v>13</v>
      </c>
      <c r="G4" s="25" t="s">
        <v>14</v>
      </c>
      <c r="H4" s="25" t="s">
        <v>15</v>
      </c>
      <c r="I4" s="39">
        <f t="shared" ref="I4:AM4" si="0">IF(COLUMN()-8&lt;=DAY(EOMONTH($A$3,0)),COLUMN()-8,"")</f>
        <v>1</v>
      </c>
      <c r="J4" s="39">
        <f t="shared" si="0"/>
        <v>2</v>
      </c>
      <c r="K4" s="39">
        <f t="shared" si="0"/>
        <v>3</v>
      </c>
      <c r="L4" s="39">
        <f t="shared" si="0"/>
        <v>4</v>
      </c>
      <c r="M4" s="39">
        <f t="shared" si="0"/>
        <v>5</v>
      </c>
      <c r="N4" s="39">
        <f t="shared" si="0"/>
        <v>6</v>
      </c>
      <c r="O4" s="39">
        <f t="shared" si="0"/>
        <v>7</v>
      </c>
      <c r="P4" s="39">
        <f t="shared" si="0"/>
        <v>8</v>
      </c>
      <c r="Q4" s="39">
        <f t="shared" si="0"/>
        <v>9</v>
      </c>
      <c r="R4" s="39">
        <f t="shared" si="0"/>
        <v>10</v>
      </c>
      <c r="S4" s="39">
        <f t="shared" si="0"/>
        <v>11</v>
      </c>
      <c r="T4" s="39">
        <f t="shared" si="0"/>
        <v>12</v>
      </c>
      <c r="U4" s="39">
        <f t="shared" si="0"/>
        <v>13</v>
      </c>
      <c r="V4" s="39">
        <f t="shared" si="0"/>
        <v>14</v>
      </c>
      <c r="W4" s="39">
        <f t="shared" si="0"/>
        <v>15</v>
      </c>
      <c r="X4" s="39">
        <f t="shared" si="0"/>
        <v>16</v>
      </c>
      <c r="Y4" s="39">
        <f t="shared" si="0"/>
        <v>17</v>
      </c>
      <c r="Z4" s="39">
        <f t="shared" si="0"/>
        <v>18</v>
      </c>
      <c r="AA4" s="39">
        <f t="shared" si="0"/>
        <v>19</v>
      </c>
      <c r="AB4" s="39">
        <f t="shared" si="0"/>
        <v>20</v>
      </c>
      <c r="AC4" s="39">
        <f t="shared" si="0"/>
        <v>21</v>
      </c>
      <c r="AD4" s="39">
        <f t="shared" si="0"/>
        <v>22</v>
      </c>
      <c r="AE4" s="39">
        <f t="shared" si="0"/>
        <v>23</v>
      </c>
      <c r="AF4" s="39">
        <f t="shared" si="0"/>
        <v>24</v>
      </c>
      <c r="AG4" s="39">
        <f t="shared" si="0"/>
        <v>25</v>
      </c>
      <c r="AH4" s="39">
        <f t="shared" si="0"/>
        <v>26</v>
      </c>
      <c r="AI4" s="39">
        <f t="shared" si="0"/>
        <v>27</v>
      </c>
      <c r="AJ4" s="39">
        <f t="shared" si="0"/>
        <v>28</v>
      </c>
      <c r="AK4" s="39">
        <f t="shared" si="0"/>
        <v>29</v>
      </c>
      <c r="AL4" s="39">
        <f t="shared" si="0"/>
        <v>30</v>
      </c>
      <c r="AM4" s="39" t="str">
        <f t="shared" si="0"/>
        <v/>
      </c>
    </row>
    <row r="5" spans="1:39" hidden="1" outlineLevel="1" x14ac:dyDescent="0.2">
      <c r="A5" s="37"/>
      <c r="B5" s="37"/>
      <c r="C5" s="37"/>
      <c r="D5" s="37"/>
      <c r="E5" s="37"/>
      <c r="F5" s="37"/>
      <c r="G5" s="37"/>
      <c r="H5" s="37"/>
      <c r="I5" s="38" t="str">
        <f t="shared" ref="I5:AM5" si="1">IF(COLUMN()-8&lt;=DAY(EOMONTH($A$3,0)),CHOOSE(WEEKDAY($A$3+COLUMN()-9,2),"L","M","X","J","V","S","D"),"")</f>
        <v>L</v>
      </c>
      <c r="J5" s="38" t="str">
        <f t="shared" si="1"/>
        <v>M</v>
      </c>
      <c r="K5" s="38" t="str">
        <f t="shared" si="1"/>
        <v>X</v>
      </c>
      <c r="L5" s="38" t="str">
        <f t="shared" si="1"/>
        <v>J</v>
      </c>
      <c r="M5" s="38" t="str">
        <f t="shared" si="1"/>
        <v>V</v>
      </c>
      <c r="N5" s="38" t="str">
        <f t="shared" si="1"/>
        <v>S</v>
      </c>
      <c r="O5" s="38" t="str">
        <f t="shared" si="1"/>
        <v>D</v>
      </c>
      <c r="P5" s="38" t="str">
        <f t="shared" si="1"/>
        <v>L</v>
      </c>
      <c r="Q5" s="38" t="str">
        <f t="shared" si="1"/>
        <v>M</v>
      </c>
      <c r="R5" s="38" t="str">
        <f t="shared" si="1"/>
        <v>X</v>
      </c>
      <c r="S5" s="38" t="str">
        <f t="shared" si="1"/>
        <v>J</v>
      </c>
      <c r="T5" s="38" t="str">
        <f t="shared" si="1"/>
        <v>V</v>
      </c>
      <c r="U5" s="38" t="str">
        <f t="shared" si="1"/>
        <v>S</v>
      </c>
      <c r="V5" s="38" t="str">
        <f t="shared" si="1"/>
        <v>D</v>
      </c>
      <c r="W5" s="38" t="str">
        <f t="shared" si="1"/>
        <v>L</v>
      </c>
      <c r="X5" s="38" t="str">
        <f t="shared" si="1"/>
        <v>M</v>
      </c>
      <c r="Y5" s="38" t="str">
        <f t="shared" si="1"/>
        <v>X</v>
      </c>
      <c r="Z5" s="38" t="str">
        <f t="shared" si="1"/>
        <v>J</v>
      </c>
      <c r="AA5" s="38" t="str">
        <f t="shared" si="1"/>
        <v>V</v>
      </c>
      <c r="AB5" s="38" t="str">
        <f t="shared" si="1"/>
        <v>S</v>
      </c>
      <c r="AC5" s="38" t="str">
        <f t="shared" si="1"/>
        <v>D</v>
      </c>
      <c r="AD5" s="38" t="str">
        <f t="shared" si="1"/>
        <v>L</v>
      </c>
      <c r="AE5" s="38" t="str">
        <f t="shared" si="1"/>
        <v>M</v>
      </c>
      <c r="AF5" s="38" t="str">
        <f t="shared" si="1"/>
        <v>X</v>
      </c>
      <c r="AG5" s="38" t="str">
        <f t="shared" si="1"/>
        <v>J</v>
      </c>
      <c r="AH5" s="38" t="str">
        <f t="shared" si="1"/>
        <v>V</v>
      </c>
      <c r="AI5" s="38" t="str">
        <f t="shared" si="1"/>
        <v>S</v>
      </c>
      <c r="AJ5" s="38" t="str">
        <f t="shared" si="1"/>
        <v>D</v>
      </c>
      <c r="AK5" s="38" t="str">
        <f t="shared" si="1"/>
        <v>L</v>
      </c>
      <c r="AL5" s="38" t="str">
        <f t="shared" si="1"/>
        <v>M</v>
      </c>
      <c r="AM5" s="38" t="str">
        <f t="shared" si="1"/>
        <v/>
      </c>
    </row>
    <row r="6" spans="1:39" hidden="1" outlineLevel="1" x14ac:dyDescent="0.2">
      <c r="A6" s="52" t="str">
        <f ca="1">IF(Residentes!A6="","",Residentes!C6)</f>
        <v>R4</v>
      </c>
      <c r="B6" s="43" t="str">
        <f>IF(Residentes!A6="","",Residentes!A6)</f>
        <v>Olatz Lopetegui</v>
      </c>
      <c r="C6" s="44">
        <f t="shared" ref="C6:C20" si="2">COUNTIF($I6:$AM6,"G")</f>
        <v>0</v>
      </c>
      <c r="D6" s="45">
        <f t="shared" ref="D6:D20" si="3">COUNTIF($I6:$AM6,"GF")</f>
        <v>0</v>
      </c>
      <c r="E6" s="45">
        <f t="shared" ref="E6:E20" si="4">COUNTIF($I6:$AM6,"GP")</f>
        <v>0</v>
      </c>
      <c r="F6" s="46">
        <f t="shared" ref="F6:F20" si="5">COUNTIF($I6:$AM6,"3P")</f>
        <v>0</v>
      </c>
      <c r="G6" s="47" cm="1">
        <f t="array" ref="G6">SUMPRODUCT((($I$5:$AM$5="S")+($I$5:$AM$5="D"))*(($I6:$AM6="G")+($I6:$AM6="GF")+($I6:$AM6="GP")))</f>
        <v>0</v>
      </c>
      <c r="H6" s="47" cm="1">
        <f t="array" ref="H6">SUMPRODUCT(($I$5:$AK$5="V")*(($I6:$AK6="G")+($I6:$AK6="GF")+($I6:$AK6="GP"))*(($K6:$AM6="G")+($K6:$AM6="GF")+($K6:$AM6="GP")))</f>
        <v>0</v>
      </c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</row>
    <row r="7" spans="1:39" hidden="1" outlineLevel="1" x14ac:dyDescent="0.2">
      <c r="A7" s="52" t="str">
        <f ca="1">IF(Residentes!A7="","",Residentes!C7)</f>
        <v>R4</v>
      </c>
      <c r="B7" s="43" t="str">
        <f>IF(Residentes!A7="","",Residentes!A7)</f>
        <v>Sarai Moliner</v>
      </c>
      <c r="C7" s="44">
        <f t="shared" si="2"/>
        <v>0</v>
      </c>
      <c r="D7" s="45">
        <f t="shared" si="3"/>
        <v>0</v>
      </c>
      <c r="E7" s="45">
        <f t="shared" si="4"/>
        <v>0</v>
      </c>
      <c r="F7" s="46">
        <f t="shared" si="5"/>
        <v>0</v>
      </c>
      <c r="G7" s="47" cm="1">
        <f t="array" ref="G7">SUMPRODUCT((($I$5:$AM$5="S")+($I$5:$AM$5="D"))*(($I7:$AM7="G")+($I7:$AM7="GF")+($I7:$AM7="GP")))</f>
        <v>0</v>
      </c>
      <c r="H7" s="47" cm="1">
        <f t="array" ref="H7">SUMPRODUCT(($I$5:$AK$5="V")*(($I7:$AK7="G")+($I7:$AK7="GF")+($I7:$AK7="GP"))*(($K7:$AM7="G")+($K7:$AM7="GF")+($K7:$AM7="GP")))</f>
        <v>0</v>
      </c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</row>
    <row r="8" spans="1:39" hidden="1" outlineLevel="1" x14ac:dyDescent="0.2">
      <c r="A8" s="52" t="str">
        <f ca="1">IF(Residentes!A8="","",Residentes!C8)</f>
        <v>R4</v>
      </c>
      <c r="B8" s="43" t="str">
        <f>IF(Residentes!A8="","",Residentes!A8)</f>
        <v>Rocío Cutillas</v>
      </c>
      <c r="C8" s="44">
        <f t="shared" si="2"/>
        <v>0</v>
      </c>
      <c r="D8" s="45">
        <f t="shared" si="3"/>
        <v>0</v>
      </c>
      <c r="E8" s="45">
        <f t="shared" si="4"/>
        <v>0</v>
      </c>
      <c r="F8" s="46">
        <f t="shared" si="5"/>
        <v>0</v>
      </c>
      <c r="G8" s="47" cm="1">
        <f t="array" ref="G8">SUMPRODUCT((($I$5:$AM$5="S")+($I$5:$AM$5="D"))*(($I8:$AM8="G")+($I8:$AM8="GF")+($I8:$AM8="GP")))</f>
        <v>0</v>
      </c>
      <c r="H8" s="47" cm="1">
        <f t="array" ref="H8">SUMPRODUCT(($I$5:$AK$5="V")*(($I8:$AK8="G")+($I8:$AK8="GF")+($I8:$AK8="GP"))*(($K8:$AM8="G")+($K8:$AM8="GF")+($K8:$AM8="GP")))</f>
        <v>0</v>
      </c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</row>
    <row r="9" spans="1:39" hidden="1" outlineLevel="1" x14ac:dyDescent="0.2">
      <c r="A9" s="52" t="str">
        <f ca="1">IF(Residentes!A9="","",Residentes!C9)</f>
        <v>R3</v>
      </c>
      <c r="B9" s="43" t="str">
        <f>IF(Residentes!A9="","",Residentes!A9)</f>
        <v>Emi Tumbarello</v>
      </c>
      <c r="C9" s="44">
        <f t="shared" si="2"/>
        <v>0</v>
      </c>
      <c r="D9" s="45">
        <f t="shared" si="3"/>
        <v>0</v>
      </c>
      <c r="E9" s="45">
        <f t="shared" si="4"/>
        <v>0</v>
      </c>
      <c r="F9" s="46">
        <f t="shared" si="5"/>
        <v>0</v>
      </c>
      <c r="G9" s="47" cm="1">
        <f t="array" ref="G9">SUMPRODUCT((($I$5:$AM$5="S")+($I$5:$AM$5="D"))*(($I9:$AM9="G")+($I9:$AM9="GF")+($I9:$AM9="GP")))</f>
        <v>0</v>
      </c>
      <c r="H9" s="47" cm="1">
        <f t="array" ref="H9">SUMPRODUCT(($I$5:$AK$5="V")*(($I9:$AK9="G")+($I9:$AK9="GF")+($I9:$AK9="GP"))*(($K9:$AM9="G")+($K9:$AM9="GF")+($K9:$AM9="GP")))</f>
        <v>0</v>
      </c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</row>
    <row r="10" spans="1:39" hidden="1" outlineLevel="1" x14ac:dyDescent="0.2">
      <c r="A10" s="52" t="str">
        <f ca="1">IF(Residentes!A10="","",Residentes!C10)</f>
        <v>R3</v>
      </c>
      <c r="B10" s="43" t="str">
        <f>IF(Residentes!A10="","",Residentes!A10)</f>
        <v>Teresa Mateo</v>
      </c>
      <c r="C10" s="44">
        <f t="shared" si="2"/>
        <v>0</v>
      </c>
      <c r="D10" s="45">
        <f t="shared" si="3"/>
        <v>0</v>
      </c>
      <c r="E10" s="45">
        <f t="shared" si="4"/>
        <v>0</v>
      </c>
      <c r="F10" s="46">
        <f t="shared" si="5"/>
        <v>0</v>
      </c>
      <c r="G10" s="47" cm="1">
        <f t="array" ref="G10">SUMPRODUCT((($I$5:$AM$5="S")+($I$5:$AM$5="D"))*(($I10:$AM10="G")+($I10:$AM10="GF")+($I10:$AM10="GP")))</f>
        <v>0</v>
      </c>
      <c r="H10" s="47" cm="1">
        <f t="array" ref="H10">SUMPRODUCT(($I$5:$AK$5="V")*(($I10:$AK10="G")+($I10:$AK10="GF")+($I10:$AK10="GP"))*(($K10:$AM10="G")+($K10:$AM10="GF")+($K10:$AM10="GP")))</f>
        <v>0</v>
      </c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</row>
    <row r="11" spans="1:39" hidden="1" outlineLevel="1" x14ac:dyDescent="0.2">
      <c r="A11" s="52" t="str">
        <f ca="1">IF(Residentes!A11="","",Residentes!C11)</f>
        <v>R3</v>
      </c>
      <c r="B11" s="43" t="str">
        <f>IF(Residentes!A11="","",Residentes!A11)</f>
        <v>Elena Sansano</v>
      </c>
      <c r="C11" s="44">
        <f t="shared" si="2"/>
        <v>0</v>
      </c>
      <c r="D11" s="45">
        <f t="shared" si="3"/>
        <v>0</v>
      </c>
      <c r="E11" s="45">
        <f t="shared" si="4"/>
        <v>0</v>
      </c>
      <c r="F11" s="46">
        <f t="shared" si="5"/>
        <v>0</v>
      </c>
      <c r="G11" s="47" cm="1">
        <f t="array" ref="G11">SUMPRODUCT((($I$5:$AM$5="S")+($I$5:$AM$5="D"))*(($I11:$AM11="G")+($I11:$AM11="GF")+($I11:$AM11="GP")))</f>
        <v>0</v>
      </c>
      <c r="H11" s="47" cm="1">
        <f t="array" ref="H11">SUMPRODUCT(($I$5:$AK$5="V")*(($I11:$AK11="G")+($I11:$AK11="GF")+($I11:$AK11="GP"))*(($K11:$AM11="G")+($K11:$AM11="GF")+($K11:$AM11="GP")))</f>
        <v>0</v>
      </c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</row>
    <row r="12" spans="1:39" hidden="1" outlineLevel="1" x14ac:dyDescent="0.2">
      <c r="A12" s="52" t="str">
        <f ca="1">IF(Residentes!A12="","",Residentes!C12)</f>
        <v>R3</v>
      </c>
      <c r="B12" s="43" t="str">
        <f>IF(Residentes!A12="","",Residentes!A12)</f>
        <v>Enrique Montiel</v>
      </c>
      <c r="C12" s="44">
        <f t="shared" si="2"/>
        <v>0</v>
      </c>
      <c r="D12" s="45">
        <f t="shared" si="3"/>
        <v>0</v>
      </c>
      <c r="E12" s="45">
        <f t="shared" si="4"/>
        <v>0</v>
      </c>
      <c r="F12" s="46">
        <f t="shared" si="5"/>
        <v>0</v>
      </c>
      <c r="G12" s="47" cm="1">
        <f t="array" ref="G12">SUMPRODUCT((($I$5:$AM$5="S")+($I$5:$AM$5="D"))*(($I12:$AM12="G")+($I12:$AM12="GF")+($I12:$AM12="GP")))</f>
        <v>0</v>
      </c>
      <c r="H12" s="47" cm="1">
        <f t="array" ref="H12">SUMPRODUCT(($I$5:$AK$5="V")*(($I12:$AK12="G")+($I12:$AK12="GF")+($I12:$AK12="GP"))*(($K12:$AM12="G")+($K12:$AM12="GF")+($K12:$AM12="GP")))</f>
        <v>0</v>
      </c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</row>
    <row r="13" spans="1:39" hidden="1" outlineLevel="1" x14ac:dyDescent="0.2">
      <c r="A13" s="52" t="str">
        <f ca="1">IF(Residentes!A13="","",Residentes!C13)</f>
        <v>R2</v>
      </c>
      <c r="B13" s="43" t="str">
        <f>IF(Residentes!A13="","",Residentes!A13)</f>
        <v>Fran Zomosa</v>
      </c>
      <c r="C13" s="44">
        <f t="shared" si="2"/>
        <v>0</v>
      </c>
      <c r="D13" s="45">
        <f t="shared" si="3"/>
        <v>0</v>
      </c>
      <c r="E13" s="45">
        <f t="shared" si="4"/>
        <v>0</v>
      </c>
      <c r="F13" s="46">
        <f t="shared" si="5"/>
        <v>0</v>
      </c>
      <c r="G13" s="47" cm="1">
        <f t="array" ref="G13">SUMPRODUCT((($I$5:$AM$5="S")+($I$5:$AM$5="D"))*(($I13:$AM13="G")+($I13:$AM13="GF")+($I13:$AM13="GP")))</f>
        <v>0</v>
      </c>
      <c r="H13" s="47" cm="1">
        <f t="array" ref="H13">SUMPRODUCT(($I$5:$AK$5="V")*(($I13:$AK13="G")+($I13:$AK13="GF")+($I13:$AK13="GP"))*(($K13:$AM13="G")+($K13:$AM13="GF")+($K13:$AM13="GP")))</f>
        <v>0</v>
      </c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</row>
    <row r="14" spans="1:39" hidden="1" outlineLevel="1" x14ac:dyDescent="0.2">
      <c r="A14" s="52" t="str">
        <f ca="1">IF(Residentes!A14="","",Residentes!C14)</f>
        <v>R2</v>
      </c>
      <c r="B14" s="43" t="str">
        <f>IF(Residentes!A14="","",Residentes!A14)</f>
        <v>Agus Lagioiosa</v>
      </c>
      <c r="C14" s="44">
        <f t="shared" si="2"/>
        <v>0</v>
      </c>
      <c r="D14" s="45">
        <f t="shared" si="3"/>
        <v>0</v>
      </c>
      <c r="E14" s="45">
        <f t="shared" si="4"/>
        <v>0</v>
      </c>
      <c r="F14" s="46">
        <f t="shared" si="5"/>
        <v>0</v>
      </c>
      <c r="G14" s="47" cm="1">
        <f t="array" ref="G14">SUMPRODUCT((($I$5:$AM$5="S")+($I$5:$AM$5="D"))*(($I14:$AM14="G")+($I14:$AM14="GF")+($I14:$AM14="GP")))</f>
        <v>0</v>
      </c>
      <c r="H14" s="47" cm="1">
        <f t="array" ref="H14">SUMPRODUCT(($I$5:$AK$5="V")*(($I14:$AK14="G")+($I14:$AK14="GF")+($I14:$AK14="GP"))*(($K14:$AM14="G")+($K14:$AM14="GF")+($K14:$AM14="GP")))</f>
        <v>0</v>
      </c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</row>
    <row r="15" spans="1:39" hidden="1" outlineLevel="1" x14ac:dyDescent="0.2">
      <c r="A15" s="52" t="str">
        <f ca="1">IF(Residentes!A15="","",Residentes!C15)</f>
        <v>R2</v>
      </c>
      <c r="B15" s="43" t="str">
        <f>IF(Residentes!A15="","",Residentes!A15)</f>
        <v>Elena Bonastre</v>
      </c>
      <c r="C15" s="44">
        <f t="shared" si="2"/>
        <v>0</v>
      </c>
      <c r="D15" s="45">
        <f t="shared" si="3"/>
        <v>0</v>
      </c>
      <c r="E15" s="45">
        <f t="shared" si="4"/>
        <v>0</v>
      </c>
      <c r="F15" s="46">
        <f t="shared" si="5"/>
        <v>0</v>
      </c>
      <c r="G15" s="47" cm="1">
        <f t="array" ref="G15">SUMPRODUCT((($I$5:$AM$5="S")+($I$5:$AM$5="D"))*(($I15:$AM15="G")+($I15:$AM15="GF")+($I15:$AM15="GP")))</f>
        <v>0</v>
      </c>
      <c r="H15" s="47" cm="1">
        <f t="array" ref="H15">SUMPRODUCT(($I$5:$AK$5="V")*(($I15:$AK15="G")+($I15:$AK15="GF")+($I15:$AK15="GP"))*(($K15:$AM15="G")+($K15:$AM15="GF")+($K15:$AM15="GP")))</f>
        <v>0</v>
      </c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</row>
    <row r="16" spans="1:39" hidden="1" outlineLevel="1" x14ac:dyDescent="0.2">
      <c r="A16" s="52" t="str">
        <f ca="1">IF(Residentes!A16="","",Residentes!C16)</f>
        <v>R2</v>
      </c>
      <c r="B16" s="43" t="str">
        <f>IF(Residentes!A16="","",Residentes!A16)</f>
        <v>María Armengol</v>
      </c>
      <c r="C16" s="44">
        <f t="shared" si="2"/>
        <v>0</v>
      </c>
      <c r="D16" s="45">
        <f t="shared" si="3"/>
        <v>0</v>
      </c>
      <c r="E16" s="45">
        <f t="shared" si="4"/>
        <v>0</v>
      </c>
      <c r="F16" s="46">
        <f t="shared" si="5"/>
        <v>0</v>
      </c>
      <c r="G16" s="47" cm="1">
        <f t="array" ref="G16">SUMPRODUCT((($I$5:$AM$5="S")+($I$5:$AM$5="D"))*(($I16:$AM16="G")+($I16:$AM16="GF")+($I16:$AM16="GP")))</f>
        <v>0</v>
      </c>
      <c r="H16" s="47" cm="1">
        <f t="array" ref="H16">SUMPRODUCT(($I$5:$AK$5="V")*(($I16:$AK16="G")+($I16:$AK16="GF")+($I16:$AK16="GP"))*(($K16:$AM16="G")+($K16:$AM16="GF")+($K16:$AM16="GP")))</f>
        <v>0</v>
      </c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</row>
    <row r="17" spans="1:39" hidden="1" outlineLevel="1" x14ac:dyDescent="0.2">
      <c r="A17" s="52" t="str">
        <f ca="1">IF(Residentes!A17="","",Residentes!C17)</f>
        <v>R1</v>
      </c>
      <c r="B17" s="43" t="str">
        <f>IF(Residentes!A17="","",Residentes!A17)</f>
        <v>Jaime Normand</v>
      </c>
      <c r="C17" s="44">
        <f t="shared" si="2"/>
        <v>0</v>
      </c>
      <c r="D17" s="45">
        <f t="shared" si="3"/>
        <v>0</v>
      </c>
      <c r="E17" s="45">
        <f t="shared" si="4"/>
        <v>0</v>
      </c>
      <c r="F17" s="46">
        <f t="shared" si="5"/>
        <v>0</v>
      </c>
      <c r="G17" s="47" cm="1">
        <f t="array" ref="G17">SUMPRODUCT((($I$5:$AM$5="S")+($I$5:$AM$5="D"))*(($I17:$AM17="G")+($I17:$AM17="GF")+($I17:$AM17="GP")))</f>
        <v>0</v>
      </c>
      <c r="H17" s="47" cm="1">
        <f t="array" ref="H17">SUMPRODUCT(($I$5:$AK$5="V")*(($I17:$AK17="G")+($I17:$AK17="GF")+($I17:$AK17="GP"))*(($K17:$AM17="G")+($K17:$AM17="GF")+($K17:$AM17="GP")))</f>
        <v>0</v>
      </c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</row>
    <row r="18" spans="1:39" hidden="1" outlineLevel="1" x14ac:dyDescent="0.2">
      <c r="A18" s="52" t="str">
        <f ca="1">IF(Residentes!A18="","",Residentes!C18)</f>
        <v>R1</v>
      </c>
      <c r="B18" s="43" t="str">
        <f>IF(Residentes!A18="","",Residentes!A18)</f>
        <v>Stephanie Aparicio</v>
      </c>
      <c r="C18" s="44">
        <f t="shared" si="2"/>
        <v>0</v>
      </c>
      <c r="D18" s="45">
        <f t="shared" si="3"/>
        <v>0</v>
      </c>
      <c r="E18" s="45">
        <f t="shared" si="4"/>
        <v>0</v>
      </c>
      <c r="F18" s="46">
        <f t="shared" si="5"/>
        <v>0</v>
      </c>
      <c r="G18" s="47" cm="1">
        <f t="array" ref="G18">SUMPRODUCT((($I$5:$AM$5="S")+($I$5:$AM$5="D"))*(($I18:$AM18="G")+($I18:$AM18="GF")+($I18:$AM18="GP")))</f>
        <v>0</v>
      </c>
      <c r="H18" s="47" cm="1">
        <f t="array" ref="H18">SUMPRODUCT(($I$5:$AK$5="V")*(($I18:$AK18="G")+($I18:$AK18="GF")+($I18:$AK18="GP"))*(($K18:$AM18="G")+($K18:$AM18="GF")+($K18:$AM18="GP")))</f>
        <v>0</v>
      </c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</row>
    <row r="19" spans="1:39" hidden="1" outlineLevel="1" x14ac:dyDescent="0.2">
      <c r="A19" s="52" t="str">
        <f ca="1">IF(Residentes!A19="","",Residentes!C19)</f>
        <v>R1</v>
      </c>
      <c r="B19" s="43" t="str">
        <f>IF(Residentes!A19="","",Residentes!A19)</f>
        <v>Marta Martínez</v>
      </c>
      <c r="C19" s="44">
        <f t="shared" si="2"/>
        <v>0</v>
      </c>
      <c r="D19" s="45">
        <f t="shared" si="3"/>
        <v>0</v>
      </c>
      <c r="E19" s="45">
        <f t="shared" si="4"/>
        <v>0</v>
      </c>
      <c r="F19" s="46">
        <f t="shared" si="5"/>
        <v>0</v>
      </c>
      <c r="G19" s="47" cm="1">
        <f t="array" ref="G19">SUMPRODUCT((($I$5:$AM$5="S")+($I$5:$AM$5="D"))*(($I19:$AM19="G")+($I19:$AM19="GF")+($I19:$AM19="GP")))</f>
        <v>0</v>
      </c>
      <c r="H19" s="47" cm="1">
        <f t="array" ref="H19">SUMPRODUCT(($I$5:$AK$5="V")*(($I19:$AK19="G")+($I19:$AK19="GF")+($I19:$AK19="GP"))*(($K19:$AM19="G")+($K19:$AM19="GF")+($K19:$AM19="GP")))</f>
        <v>0</v>
      </c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</row>
    <row r="20" spans="1:39" hidden="1" outlineLevel="1" x14ac:dyDescent="0.2">
      <c r="A20" s="52" t="str">
        <f ca="1">IF(Residentes!A20="","",Residentes!C20)</f>
        <v>R1</v>
      </c>
      <c r="B20" s="43" t="str">
        <f>IF(Residentes!A20="","",Residentes!A20)</f>
        <v>Manuel Cortés</v>
      </c>
      <c r="C20" s="44">
        <f t="shared" si="2"/>
        <v>0</v>
      </c>
      <c r="D20" s="45">
        <f t="shared" si="3"/>
        <v>0</v>
      </c>
      <c r="E20" s="45">
        <f t="shared" si="4"/>
        <v>0</v>
      </c>
      <c r="F20" s="46">
        <f t="shared" si="5"/>
        <v>0</v>
      </c>
      <c r="G20" s="47" cm="1">
        <f t="array" ref="G20">SUMPRODUCT((($I$5:$AM$5="S")+($I$5:$AM$5="D"))*(($I20:$AM20="G")+($I20:$AM20="GF")+($I20:$AM20="GP")))</f>
        <v>0</v>
      </c>
      <c r="H20" s="47" cm="1">
        <f t="array" ref="H20">SUMPRODUCT(($I$5:$AK$5="V")*(($I20:$AK20="G")+($I20:$AK20="GF")+($I20:$AK20="GP"))*(($K20:$AM20="G")+($K20:$AM20="GF")+($K20:$AM20="GP")))</f>
        <v>0</v>
      </c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</row>
    <row r="21" spans="1:39" collapsed="1" x14ac:dyDescent="0.2"/>
    <row r="22" spans="1:39" ht="20" customHeight="1" x14ac:dyDescent="0.2">
      <c r="A22" s="61">
        <v>46204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</row>
    <row r="23" spans="1:39" ht="24" hidden="1" customHeight="1" outlineLevel="1" x14ac:dyDescent="0.2">
      <c r="A23" s="25" t="s">
        <v>9</v>
      </c>
      <c r="B23" s="25" t="s">
        <v>10</v>
      </c>
      <c r="C23" s="25" t="s">
        <v>11</v>
      </c>
      <c r="D23" s="25" t="s">
        <v>12</v>
      </c>
      <c r="E23" s="25" t="s">
        <v>109</v>
      </c>
      <c r="F23" s="25" t="s">
        <v>13</v>
      </c>
      <c r="G23" s="25" t="s">
        <v>14</v>
      </c>
      <c r="H23" s="25" t="s">
        <v>15</v>
      </c>
      <c r="I23" s="39">
        <f t="shared" ref="I23:AM23" si="6">IF(COLUMN()-8&lt;=DAY(EOMONTH($A$22,0)),COLUMN()-8,"")</f>
        <v>1</v>
      </c>
      <c r="J23" s="39">
        <f t="shared" si="6"/>
        <v>2</v>
      </c>
      <c r="K23" s="39">
        <f t="shared" si="6"/>
        <v>3</v>
      </c>
      <c r="L23" s="39">
        <f t="shared" si="6"/>
        <v>4</v>
      </c>
      <c r="M23" s="39">
        <f t="shared" si="6"/>
        <v>5</v>
      </c>
      <c r="N23" s="39">
        <f t="shared" si="6"/>
        <v>6</v>
      </c>
      <c r="O23" s="39">
        <f t="shared" si="6"/>
        <v>7</v>
      </c>
      <c r="P23" s="39">
        <f t="shared" si="6"/>
        <v>8</v>
      </c>
      <c r="Q23" s="39">
        <f t="shared" si="6"/>
        <v>9</v>
      </c>
      <c r="R23" s="39">
        <f t="shared" si="6"/>
        <v>10</v>
      </c>
      <c r="S23" s="39">
        <f t="shared" si="6"/>
        <v>11</v>
      </c>
      <c r="T23" s="39">
        <f t="shared" si="6"/>
        <v>12</v>
      </c>
      <c r="U23" s="39">
        <f t="shared" si="6"/>
        <v>13</v>
      </c>
      <c r="V23" s="39">
        <f t="shared" si="6"/>
        <v>14</v>
      </c>
      <c r="W23" s="39">
        <f t="shared" si="6"/>
        <v>15</v>
      </c>
      <c r="X23" s="39">
        <f t="shared" si="6"/>
        <v>16</v>
      </c>
      <c r="Y23" s="39">
        <f t="shared" si="6"/>
        <v>17</v>
      </c>
      <c r="Z23" s="39">
        <f t="shared" si="6"/>
        <v>18</v>
      </c>
      <c r="AA23" s="39">
        <f t="shared" si="6"/>
        <v>19</v>
      </c>
      <c r="AB23" s="39">
        <f t="shared" si="6"/>
        <v>20</v>
      </c>
      <c r="AC23" s="39">
        <f t="shared" si="6"/>
        <v>21</v>
      </c>
      <c r="AD23" s="39">
        <f t="shared" si="6"/>
        <v>22</v>
      </c>
      <c r="AE23" s="39">
        <f t="shared" si="6"/>
        <v>23</v>
      </c>
      <c r="AF23" s="39">
        <f t="shared" si="6"/>
        <v>24</v>
      </c>
      <c r="AG23" s="39">
        <f t="shared" si="6"/>
        <v>25</v>
      </c>
      <c r="AH23" s="39">
        <f t="shared" si="6"/>
        <v>26</v>
      </c>
      <c r="AI23" s="39">
        <f t="shared" si="6"/>
        <v>27</v>
      </c>
      <c r="AJ23" s="39">
        <f t="shared" si="6"/>
        <v>28</v>
      </c>
      <c r="AK23" s="39">
        <f t="shared" si="6"/>
        <v>29</v>
      </c>
      <c r="AL23" s="39">
        <f t="shared" si="6"/>
        <v>30</v>
      </c>
      <c r="AM23" s="39">
        <f t="shared" si="6"/>
        <v>31</v>
      </c>
    </row>
    <row r="24" spans="1:39" hidden="1" outlineLevel="1" x14ac:dyDescent="0.2">
      <c r="A24" s="37"/>
      <c r="B24" s="37"/>
      <c r="C24" s="37"/>
      <c r="D24" s="37"/>
      <c r="E24" s="37"/>
      <c r="F24" s="37"/>
      <c r="G24" s="37"/>
      <c r="H24" s="37"/>
      <c r="I24" s="38" t="str">
        <f t="shared" ref="I24:AM24" si="7">IF(COLUMN()-8&lt;=DAY(EOMONTH($A$22,0)),CHOOSE(WEEKDAY($A$22+COLUMN()-9,2),"L","M","X","J","V","S","D"),"")</f>
        <v>X</v>
      </c>
      <c r="J24" s="38" t="str">
        <f t="shared" si="7"/>
        <v>J</v>
      </c>
      <c r="K24" s="38" t="str">
        <f t="shared" si="7"/>
        <v>V</v>
      </c>
      <c r="L24" s="38" t="str">
        <f t="shared" si="7"/>
        <v>S</v>
      </c>
      <c r="M24" s="38" t="str">
        <f t="shared" si="7"/>
        <v>D</v>
      </c>
      <c r="N24" s="38" t="str">
        <f t="shared" si="7"/>
        <v>L</v>
      </c>
      <c r="O24" s="38" t="str">
        <f t="shared" si="7"/>
        <v>M</v>
      </c>
      <c r="P24" s="38" t="str">
        <f t="shared" si="7"/>
        <v>X</v>
      </c>
      <c r="Q24" s="38" t="str">
        <f t="shared" si="7"/>
        <v>J</v>
      </c>
      <c r="R24" s="38" t="str">
        <f t="shared" si="7"/>
        <v>V</v>
      </c>
      <c r="S24" s="38" t="str">
        <f t="shared" si="7"/>
        <v>S</v>
      </c>
      <c r="T24" s="38" t="str">
        <f t="shared" si="7"/>
        <v>D</v>
      </c>
      <c r="U24" s="38" t="str">
        <f t="shared" si="7"/>
        <v>L</v>
      </c>
      <c r="V24" s="38" t="str">
        <f t="shared" si="7"/>
        <v>M</v>
      </c>
      <c r="W24" s="38" t="str">
        <f t="shared" si="7"/>
        <v>X</v>
      </c>
      <c r="X24" s="38" t="str">
        <f t="shared" si="7"/>
        <v>J</v>
      </c>
      <c r="Y24" s="38" t="str">
        <f t="shared" si="7"/>
        <v>V</v>
      </c>
      <c r="Z24" s="38" t="str">
        <f t="shared" si="7"/>
        <v>S</v>
      </c>
      <c r="AA24" s="38" t="str">
        <f t="shared" si="7"/>
        <v>D</v>
      </c>
      <c r="AB24" s="38" t="str">
        <f t="shared" si="7"/>
        <v>L</v>
      </c>
      <c r="AC24" s="38" t="str">
        <f t="shared" si="7"/>
        <v>M</v>
      </c>
      <c r="AD24" s="38" t="str">
        <f t="shared" si="7"/>
        <v>X</v>
      </c>
      <c r="AE24" s="38" t="str">
        <f t="shared" si="7"/>
        <v>J</v>
      </c>
      <c r="AF24" s="38" t="str">
        <f t="shared" si="7"/>
        <v>V</v>
      </c>
      <c r="AG24" s="38" t="str">
        <f t="shared" si="7"/>
        <v>S</v>
      </c>
      <c r="AH24" s="38" t="str">
        <f t="shared" si="7"/>
        <v>D</v>
      </c>
      <c r="AI24" s="38" t="str">
        <f t="shared" si="7"/>
        <v>L</v>
      </c>
      <c r="AJ24" s="38" t="str">
        <f t="shared" si="7"/>
        <v>M</v>
      </c>
      <c r="AK24" s="38" t="str">
        <f t="shared" si="7"/>
        <v>X</v>
      </c>
      <c r="AL24" s="38" t="str">
        <f t="shared" si="7"/>
        <v>J</v>
      </c>
      <c r="AM24" s="38" t="str">
        <f t="shared" si="7"/>
        <v>V</v>
      </c>
    </row>
    <row r="25" spans="1:39" hidden="1" outlineLevel="1" x14ac:dyDescent="0.2">
      <c r="A25" s="52" t="str">
        <f ca="1">IF(Residentes!A6="","",Residentes!C6)</f>
        <v>R4</v>
      </c>
      <c r="B25" s="43" t="str">
        <f>IF(Residentes!A6="","",Residentes!A6)</f>
        <v>Olatz Lopetegui</v>
      </c>
      <c r="C25" s="44">
        <f t="shared" ref="C25:C39" si="8">COUNTIF($I25:$AM25,"G")</f>
        <v>0</v>
      </c>
      <c r="D25" s="45">
        <f t="shared" ref="D25:D39" si="9">COUNTIF($I25:$AM25,"GF")</f>
        <v>0</v>
      </c>
      <c r="E25" s="45">
        <f t="shared" ref="E25:E39" si="10">COUNTIF($I25:$AM25,"GP")</f>
        <v>0</v>
      </c>
      <c r="F25" s="46">
        <f t="shared" ref="F25:F39" si="11">COUNTIF($I25:$AM25,"3P")</f>
        <v>0</v>
      </c>
      <c r="G25" s="47" cm="1">
        <f t="array" ref="G25">SUMPRODUCT((($I$24:$AM$24="S")+($I$24:$AM$24="D"))*(($I25:$AM25="G")+($I25:$AM25="GF")+($I25:$AM25="GP")))</f>
        <v>0</v>
      </c>
      <c r="H25" s="47" cm="1">
        <f t="array" ref="H25">SUMPRODUCT(($I$24:$AK$24="V")*(($I25:$AK25="G")+($I25:$AK25="GF")+($I25:$AK25="GP"))*(($K25:$AM25="G")+($K25:$AM25="GF")+($K25:$AM25="GP")))</f>
        <v>0</v>
      </c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</row>
    <row r="26" spans="1:39" hidden="1" outlineLevel="1" x14ac:dyDescent="0.2">
      <c r="A26" s="52" t="str">
        <f ca="1">IF(Residentes!A7="","",Residentes!C7)</f>
        <v>R4</v>
      </c>
      <c r="B26" s="43" t="str">
        <f>IF(Residentes!A7="","",Residentes!A7)</f>
        <v>Sarai Moliner</v>
      </c>
      <c r="C26" s="44">
        <f t="shared" si="8"/>
        <v>0</v>
      </c>
      <c r="D26" s="45">
        <f t="shared" si="9"/>
        <v>0</v>
      </c>
      <c r="E26" s="45">
        <f t="shared" si="10"/>
        <v>0</v>
      </c>
      <c r="F26" s="46">
        <f t="shared" si="11"/>
        <v>0</v>
      </c>
      <c r="G26" s="47" cm="1">
        <f t="array" ref="G26">SUMPRODUCT((($I$24:$AM$24="S")+($I$24:$AM$24="D"))*(($I26:$AM26="G")+($I26:$AM26="GF")+($I26:$AM26="GP")))</f>
        <v>0</v>
      </c>
      <c r="H26" s="47" cm="1">
        <f t="array" ref="H26">SUMPRODUCT(($I$24:$AK$24="V")*(($I26:$AK26="G")+($I26:$AK26="GF")+($I26:$AK26="GP"))*(($K26:$AM26="G")+($K26:$AM26="GF")+($K26:$AM26="GP")))</f>
        <v>0</v>
      </c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</row>
    <row r="27" spans="1:39" hidden="1" outlineLevel="1" x14ac:dyDescent="0.2">
      <c r="A27" s="52" t="str">
        <f ca="1">IF(Residentes!A8="","",Residentes!C8)</f>
        <v>R4</v>
      </c>
      <c r="B27" s="43" t="str">
        <f>IF(Residentes!A8="","",Residentes!A8)</f>
        <v>Rocío Cutillas</v>
      </c>
      <c r="C27" s="44">
        <f t="shared" si="8"/>
        <v>0</v>
      </c>
      <c r="D27" s="45">
        <f t="shared" si="9"/>
        <v>0</v>
      </c>
      <c r="E27" s="45">
        <f t="shared" si="10"/>
        <v>0</v>
      </c>
      <c r="F27" s="46">
        <f t="shared" si="11"/>
        <v>0</v>
      </c>
      <c r="G27" s="47" cm="1">
        <f t="array" ref="G27">SUMPRODUCT((($I$24:$AM$24="S")+($I$24:$AM$24="D"))*(($I27:$AM27="G")+($I27:$AM27="GF")+($I27:$AM27="GP")))</f>
        <v>0</v>
      </c>
      <c r="H27" s="47" cm="1">
        <f t="array" ref="H27">SUMPRODUCT(($I$24:$AK$24="V")*(($I27:$AK27="G")+($I27:$AK27="GF")+($I27:$AK27="GP"))*(($K27:$AM27="G")+($K27:$AM27="GF")+($K27:$AM27="GP")))</f>
        <v>0</v>
      </c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</row>
    <row r="28" spans="1:39" hidden="1" outlineLevel="1" x14ac:dyDescent="0.2">
      <c r="A28" s="52" t="str">
        <f ca="1">IF(Residentes!A9="","",Residentes!C9)</f>
        <v>R3</v>
      </c>
      <c r="B28" s="43" t="str">
        <f>IF(Residentes!A9="","",Residentes!A9)</f>
        <v>Emi Tumbarello</v>
      </c>
      <c r="C28" s="44">
        <f t="shared" si="8"/>
        <v>0</v>
      </c>
      <c r="D28" s="45">
        <f t="shared" si="9"/>
        <v>0</v>
      </c>
      <c r="E28" s="45">
        <f t="shared" si="10"/>
        <v>0</v>
      </c>
      <c r="F28" s="46">
        <f t="shared" si="11"/>
        <v>0</v>
      </c>
      <c r="G28" s="47" cm="1">
        <f t="array" ref="G28">SUMPRODUCT((($I$24:$AM$24="S")+($I$24:$AM$24="D"))*(($I28:$AM28="G")+($I28:$AM28="GF")+($I28:$AM28="GP")))</f>
        <v>0</v>
      </c>
      <c r="H28" s="47" cm="1">
        <f t="array" ref="H28">SUMPRODUCT(($I$24:$AK$24="V")*(($I28:$AK28="G")+($I28:$AK28="GF")+($I28:$AK28="GP"))*(($K28:$AM28="G")+($K28:$AM28="GF")+($K28:$AM28="GP")))</f>
        <v>0</v>
      </c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</row>
    <row r="29" spans="1:39" hidden="1" outlineLevel="1" x14ac:dyDescent="0.2">
      <c r="A29" s="52" t="str">
        <f ca="1">IF(Residentes!A10="","",Residentes!C10)</f>
        <v>R3</v>
      </c>
      <c r="B29" s="43" t="str">
        <f>IF(Residentes!A10="","",Residentes!A10)</f>
        <v>Teresa Mateo</v>
      </c>
      <c r="C29" s="44">
        <f t="shared" si="8"/>
        <v>0</v>
      </c>
      <c r="D29" s="45">
        <f t="shared" si="9"/>
        <v>0</v>
      </c>
      <c r="E29" s="45">
        <f t="shared" si="10"/>
        <v>0</v>
      </c>
      <c r="F29" s="46">
        <f t="shared" si="11"/>
        <v>0</v>
      </c>
      <c r="G29" s="47" cm="1">
        <f t="array" ref="G29">SUMPRODUCT((($I$24:$AM$24="S")+($I$24:$AM$24="D"))*(($I29:$AM29="G")+($I29:$AM29="GF")+($I29:$AM29="GP")))</f>
        <v>0</v>
      </c>
      <c r="H29" s="47" cm="1">
        <f t="array" ref="H29">SUMPRODUCT(($I$24:$AK$24="V")*(($I29:$AK29="G")+($I29:$AK29="GF")+($I29:$AK29="GP"))*(($K29:$AM29="G")+($K29:$AM29="GF")+($K29:$AM29="GP")))</f>
        <v>0</v>
      </c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</row>
    <row r="30" spans="1:39" hidden="1" outlineLevel="1" x14ac:dyDescent="0.2">
      <c r="A30" s="52" t="str">
        <f ca="1">IF(Residentes!A11="","",Residentes!C11)</f>
        <v>R3</v>
      </c>
      <c r="B30" s="43" t="str">
        <f>IF(Residentes!A11="","",Residentes!A11)</f>
        <v>Elena Sansano</v>
      </c>
      <c r="C30" s="44">
        <f t="shared" si="8"/>
        <v>0</v>
      </c>
      <c r="D30" s="45">
        <f t="shared" si="9"/>
        <v>0</v>
      </c>
      <c r="E30" s="45">
        <f t="shared" si="10"/>
        <v>0</v>
      </c>
      <c r="F30" s="46">
        <f t="shared" si="11"/>
        <v>0</v>
      </c>
      <c r="G30" s="47" cm="1">
        <f t="array" ref="G30">SUMPRODUCT((($I$24:$AM$24="S")+($I$24:$AM$24="D"))*(($I30:$AM30="G")+($I30:$AM30="GF")+($I30:$AM30="GP")))</f>
        <v>0</v>
      </c>
      <c r="H30" s="47" cm="1">
        <f t="array" ref="H30">SUMPRODUCT(($I$24:$AK$24="V")*(($I30:$AK30="G")+($I30:$AK30="GF")+($I30:$AK30="GP"))*(($K30:$AM30="G")+($K30:$AM30="GF")+($K30:$AM30="GP")))</f>
        <v>0</v>
      </c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</row>
    <row r="31" spans="1:39" hidden="1" outlineLevel="1" x14ac:dyDescent="0.2">
      <c r="A31" s="52" t="str">
        <f ca="1">IF(Residentes!A12="","",Residentes!C12)</f>
        <v>R3</v>
      </c>
      <c r="B31" s="43" t="str">
        <f>IF(Residentes!A12="","",Residentes!A12)</f>
        <v>Enrique Montiel</v>
      </c>
      <c r="C31" s="44">
        <f t="shared" si="8"/>
        <v>0</v>
      </c>
      <c r="D31" s="45">
        <f t="shared" si="9"/>
        <v>0</v>
      </c>
      <c r="E31" s="45">
        <f t="shared" si="10"/>
        <v>0</v>
      </c>
      <c r="F31" s="46">
        <f t="shared" si="11"/>
        <v>0</v>
      </c>
      <c r="G31" s="47" cm="1">
        <f t="array" ref="G31">SUMPRODUCT((($I$24:$AM$24="S")+($I$24:$AM$24="D"))*(($I31:$AM31="G")+($I31:$AM31="GF")+($I31:$AM31="GP")))</f>
        <v>0</v>
      </c>
      <c r="H31" s="47" cm="1">
        <f t="array" ref="H31">SUMPRODUCT(($I$24:$AK$24="V")*(($I31:$AK31="G")+($I31:$AK31="GF")+($I31:$AK31="GP"))*(($K31:$AM31="G")+($K31:$AM31="GF")+($K31:$AM31="GP")))</f>
        <v>0</v>
      </c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</row>
    <row r="32" spans="1:39" hidden="1" outlineLevel="1" x14ac:dyDescent="0.2">
      <c r="A32" s="52" t="str">
        <f ca="1">IF(Residentes!A13="","",Residentes!C13)</f>
        <v>R2</v>
      </c>
      <c r="B32" s="43" t="str">
        <f>IF(Residentes!A13="","",Residentes!A13)</f>
        <v>Fran Zomosa</v>
      </c>
      <c r="C32" s="44">
        <f t="shared" si="8"/>
        <v>0</v>
      </c>
      <c r="D32" s="45">
        <f t="shared" si="9"/>
        <v>0</v>
      </c>
      <c r="E32" s="45">
        <f t="shared" si="10"/>
        <v>0</v>
      </c>
      <c r="F32" s="46">
        <f t="shared" si="11"/>
        <v>0</v>
      </c>
      <c r="G32" s="47" cm="1">
        <f t="array" ref="G32">SUMPRODUCT((($I$24:$AM$24="S")+($I$24:$AM$24="D"))*(($I32:$AM32="G")+($I32:$AM32="GF")+($I32:$AM32="GP")))</f>
        <v>0</v>
      </c>
      <c r="H32" s="47" cm="1">
        <f t="array" ref="H32">SUMPRODUCT(($I$24:$AK$24="V")*(($I32:$AK32="G")+($I32:$AK32="GF")+($I32:$AK32="GP"))*(($K32:$AM32="G")+($K32:$AM32="GF")+($K32:$AM32="GP")))</f>
        <v>0</v>
      </c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</row>
    <row r="33" spans="1:39" hidden="1" outlineLevel="1" x14ac:dyDescent="0.2">
      <c r="A33" s="52" t="str">
        <f ca="1">IF(Residentes!A14="","",Residentes!C14)</f>
        <v>R2</v>
      </c>
      <c r="B33" s="43" t="str">
        <f>IF(Residentes!A14="","",Residentes!A14)</f>
        <v>Agus Lagioiosa</v>
      </c>
      <c r="C33" s="44">
        <f t="shared" si="8"/>
        <v>0</v>
      </c>
      <c r="D33" s="45">
        <f t="shared" si="9"/>
        <v>0</v>
      </c>
      <c r="E33" s="45">
        <f t="shared" si="10"/>
        <v>0</v>
      </c>
      <c r="F33" s="46">
        <f t="shared" si="11"/>
        <v>0</v>
      </c>
      <c r="G33" s="47" cm="1">
        <f t="array" ref="G33">SUMPRODUCT((($I$24:$AM$24="S")+($I$24:$AM$24="D"))*(($I33:$AM33="G")+($I33:$AM33="GF")+($I33:$AM33="GP")))</f>
        <v>0</v>
      </c>
      <c r="H33" s="47" cm="1">
        <f t="array" ref="H33">SUMPRODUCT(($I$24:$AK$24="V")*(($I33:$AK33="G")+($I33:$AK33="GF")+($I33:$AK33="GP"))*(($K33:$AM33="G")+($K33:$AM33="GF")+($K33:$AM33="GP")))</f>
        <v>0</v>
      </c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</row>
    <row r="34" spans="1:39" hidden="1" outlineLevel="1" x14ac:dyDescent="0.2">
      <c r="A34" s="52" t="str">
        <f ca="1">IF(Residentes!A15="","",Residentes!C15)</f>
        <v>R2</v>
      </c>
      <c r="B34" s="43" t="str">
        <f>IF(Residentes!A15="","",Residentes!A15)</f>
        <v>Elena Bonastre</v>
      </c>
      <c r="C34" s="44">
        <f t="shared" si="8"/>
        <v>0</v>
      </c>
      <c r="D34" s="45">
        <f t="shared" si="9"/>
        <v>0</v>
      </c>
      <c r="E34" s="45">
        <f t="shared" si="10"/>
        <v>0</v>
      </c>
      <c r="F34" s="46">
        <f t="shared" si="11"/>
        <v>0</v>
      </c>
      <c r="G34" s="47" cm="1">
        <f t="array" ref="G34">SUMPRODUCT((($I$24:$AM$24="S")+($I$24:$AM$24="D"))*(($I34:$AM34="G")+($I34:$AM34="GF")+($I34:$AM34="GP")))</f>
        <v>0</v>
      </c>
      <c r="H34" s="47" cm="1">
        <f t="array" ref="H34">SUMPRODUCT(($I$24:$AK$24="V")*(($I34:$AK34="G")+($I34:$AK34="GF")+($I34:$AK34="GP"))*(($K34:$AM34="G")+($K34:$AM34="GF")+($K34:$AM34="GP")))</f>
        <v>0</v>
      </c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</row>
    <row r="35" spans="1:39" hidden="1" outlineLevel="1" x14ac:dyDescent="0.2">
      <c r="A35" s="52" t="str">
        <f ca="1">IF(Residentes!A16="","",Residentes!C16)</f>
        <v>R2</v>
      </c>
      <c r="B35" s="43" t="str">
        <f>IF(Residentes!A16="","",Residentes!A16)</f>
        <v>María Armengol</v>
      </c>
      <c r="C35" s="44">
        <f t="shared" si="8"/>
        <v>0</v>
      </c>
      <c r="D35" s="45">
        <f t="shared" si="9"/>
        <v>0</v>
      </c>
      <c r="E35" s="45">
        <f t="shared" si="10"/>
        <v>0</v>
      </c>
      <c r="F35" s="46">
        <f t="shared" si="11"/>
        <v>0</v>
      </c>
      <c r="G35" s="47" cm="1">
        <f t="array" ref="G35">SUMPRODUCT((($I$24:$AM$24="S")+($I$24:$AM$24="D"))*(($I35:$AM35="G")+($I35:$AM35="GF")+($I35:$AM35="GP")))</f>
        <v>0</v>
      </c>
      <c r="H35" s="47" cm="1">
        <f t="array" ref="H35">SUMPRODUCT(($I$24:$AK$24="V")*(($I35:$AK35="G")+($I35:$AK35="GF")+($I35:$AK35="GP"))*(($K35:$AM35="G")+($K35:$AM35="GF")+($K35:$AM35="GP")))</f>
        <v>0</v>
      </c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</row>
    <row r="36" spans="1:39" hidden="1" outlineLevel="1" x14ac:dyDescent="0.2">
      <c r="A36" s="52" t="str">
        <f ca="1">IF(Residentes!A17="","",Residentes!C17)</f>
        <v>R1</v>
      </c>
      <c r="B36" s="43" t="str">
        <f>IF(Residentes!A17="","",Residentes!A17)</f>
        <v>Jaime Normand</v>
      </c>
      <c r="C36" s="44">
        <f t="shared" si="8"/>
        <v>0</v>
      </c>
      <c r="D36" s="45">
        <f t="shared" si="9"/>
        <v>0</v>
      </c>
      <c r="E36" s="45">
        <f t="shared" si="10"/>
        <v>0</v>
      </c>
      <c r="F36" s="46">
        <f t="shared" si="11"/>
        <v>0</v>
      </c>
      <c r="G36" s="47" cm="1">
        <f t="array" ref="G36">SUMPRODUCT((($I$24:$AM$24="S")+($I$24:$AM$24="D"))*(($I36:$AM36="G")+($I36:$AM36="GF")+($I36:$AM36="GP")))</f>
        <v>0</v>
      </c>
      <c r="H36" s="47" cm="1">
        <f t="array" ref="H36">SUMPRODUCT(($I$24:$AK$24="V")*(($I36:$AK36="G")+($I36:$AK36="GF")+($I36:$AK36="GP"))*(($K36:$AM36="G")+($K36:$AM36="GF")+($K36:$AM36="GP")))</f>
        <v>0</v>
      </c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</row>
    <row r="37" spans="1:39" hidden="1" outlineLevel="1" x14ac:dyDescent="0.2">
      <c r="A37" s="52" t="str">
        <f ca="1">IF(Residentes!A18="","",Residentes!C18)</f>
        <v>R1</v>
      </c>
      <c r="B37" s="43" t="str">
        <f>IF(Residentes!A18="","",Residentes!A18)</f>
        <v>Stephanie Aparicio</v>
      </c>
      <c r="C37" s="44">
        <f t="shared" si="8"/>
        <v>0</v>
      </c>
      <c r="D37" s="45">
        <f t="shared" si="9"/>
        <v>0</v>
      </c>
      <c r="E37" s="45">
        <f t="shared" si="10"/>
        <v>0</v>
      </c>
      <c r="F37" s="46">
        <f t="shared" si="11"/>
        <v>0</v>
      </c>
      <c r="G37" s="47" cm="1">
        <f t="array" ref="G37">SUMPRODUCT((($I$24:$AM$24="S")+($I$24:$AM$24="D"))*(($I37:$AM37="G")+($I37:$AM37="GF")+($I37:$AM37="GP")))</f>
        <v>0</v>
      </c>
      <c r="H37" s="47" cm="1">
        <f t="array" ref="H37">SUMPRODUCT(($I$24:$AK$24="V")*(($I37:$AK37="G")+($I37:$AK37="GF")+($I37:$AK37="GP"))*(($K37:$AM37="G")+($K37:$AM37="GF")+($K37:$AM37="GP")))</f>
        <v>0</v>
      </c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</row>
    <row r="38" spans="1:39" hidden="1" outlineLevel="1" x14ac:dyDescent="0.2">
      <c r="A38" s="52" t="str">
        <f ca="1">IF(Residentes!A19="","",Residentes!C19)</f>
        <v>R1</v>
      </c>
      <c r="B38" s="43" t="str">
        <f>IF(Residentes!A19="","",Residentes!A19)</f>
        <v>Marta Martínez</v>
      </c>
      <c r="C38" s="44">
        <f t="shared" si="8"/>
        <v>0</v>
      </c>
      <c r="D38" s="45">
        <f t="shared" si="9"/>
        <v>0</v>
      </c>
      <c r="E38" s="45">
        <f t="shared" si="10"/>
        <v>0</v>
      </c>
      <c r="F38" s="46">
        <f t="shared" si="11"/>
        <v>0</v>
      </c>
      <c r="G38" s="47" cm="1">
        <f t="array" ref="G38">SUMPRODUCT((($I$24:$AM$24="S")+($I$24:$AM$24="D"))*(($I38:$AM38="G")+($I38:$AM38="GF")+($I38:$AM38="GP")))</f>
        <v>0</v>
      </c>
      <c r="H38" s="47" cm="1">
        <f t="array" ref="H38">SUMPRODUCT(($I$24:$AK$24="V")*(($I38:$AK38="G")+($I38:$AK38="GF")+($I38:$AK38="GP"))*(($K38:$AM38="G")+($K38:$AM38="GF")+($K38:$AM38="GP")))</f>
        <v>0</v>
      </c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</row>
    <row r="39" spans="1:39" hidden="1" outlineLevel="1" x14ac:dyDescent="0.2">
      <c r="A39" s="52" t="str">
        <f ca="1">IF(Residentes!A20="","",Residentes!C20)</f>
        <v>R1</v>
      </c>
      <c r="B39" s="43" t="str">
        <f>IF(Residentes!A20="","",Residentes!A20)</f>
        <v>Manuel Cortés</v>
      </c>
      <c r="C39" s="44">
        <f t="shared" si="8"/>
        <v>0</v>
      </c>
      <c r="D39" s="45">
        <f t="shared" si="9"/>
        <v>0</v>
      </c>
      <c r="E39" s="45">
        <f t="shared" si="10"/>
        <v>0</v>
      </c>
      <c r="F39" s="46">
        <f t="shared" si="11"/>
        <v>0</v>
      </c>
      <c r="G39" s="47" cm="1">
        <f t="array" ref="G39">SUMPRODUCT((($I$24:$AM$24="S")+($I$24:$AM$24="D"))*(($I39:$AM39="G")+($I39:$AM39="GF")+($I39:$AM39="GP")))</f>
        <v>0</v>
      </c>
      <c r="H39" s="47" cm="1">
        <f t="array" ref="H39">SUMPRODUCT(($I$24:$AK$24="V")*(($I39:$AK39="G")+($I39:$AK39="GF")+($I39:$AK39="GP"))*(($K39:$AM39="G")+($K39:$AM39="GF")+($K39:$AM39="GP")))</f>
        <v>0</v>
      </c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</row>
    <row r="40" spans="1:39" collapsed="1" x14ac:dyDescent="0.2"/>
    <row r="41" spans="1:39" ht="20" customHeight="1" x14ac:dyDescent="0.2">
      <c r="A41" s="61">
        <v>46235</v>
      </c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</row>
    <row r="42" spans="1:39" ht="24" hidden="1" customHeight="1" outlineLevel="1" x14ac:dyDescent="0.2">
      <c r="A42" s="25" t="s">
        <v>9</v>
      </c>
      <c r="B42" s="25" t="s">
        <v>10</v>
      </c>
      <c r="C42" s="25" t="s">
        <v>11</v>
      </c>
      <c r="D42" s="25" t="s">
        <v>12</v>
      </c>
      <c r="E42" s="25" t="s">
        <v>109</v>
      </c>
      <c r="F42" s="25" t="s">
        <v>13</v>
      </c>
      <c r="G42" s="25" t="s">
        <v>14</v>
      </c>
      <c r="H42" s="25" t="s">
        <v>15</v>
      </c>
      <c r="I42" s="39">
        <f t="shared" ref="I42:AM42" si="12">IF(COLUMN()-8&lt;=DAY(EOMONTH($A$41,0)),COLUMN()-8,"")</f>
        <v>1</v>
      </c>
      <c r="J42" s="39">
        <f t="shared" si="12"/>
        <v>2</v>
      </c>
      <c r="K42" s="39">
        <f t="shared" si="12"/>
        <v>3</v>
      </c>
      <c r="L42" s="39">
        <f t="shared" si="12"/>
        <v>4</v>
      </c>
      <c r="M42" s="39">
        <f t="shared" si="12"/>
        <v>5</v>
      </c>
      <c r="N42" s="39">
        <f t="shared" si="12"/>
        <v>6</v>
      </c>
      <c r="O42" s="39">
        <f t="shared" si="12"/>
        <v>7</v>
      </c>
      <c r="P42" s="39">
        <f t="shared" si="12"/>
        <v>8</v>
      </c>
      <c r="Q42" s="39">
        <f t="shared" si="12"/>
        <v>9</v>
      </c>
      <c r="R42" s="39">
        <f t="shared" si="12"/>
        <v>10</v>
      </c>
      <c r="S42" s="39">
        <f t="shared" si="12"/>
        <v>11</v>
      </c>
      <c r="T42" s="39">
        <f t="shared" si="12"/>
        <v>12</v>
      </c>
      <c r="U42" s="39">
        <f t="shared" si="12"/>
        <v>13</v>
      </c>
      <c r="V42" s="39">
        <f t="shared" si="12"/>
        <v>14</v>
      </c>
      <c r="W42" s="39">
        <f t="shared" si="12"/>
        <v>15</v>
      </c>
      <c r="X42" s="39">
        <f t="shared" si="12"/>
        <v>16</v>
      </c>
      <c r="Y42" s="39">
        <f t="shared" si="12"/>
        <v>17</v>
      </c>
      <c r="Z42" s="39">
        <f t="shared" si="12"/>
        <v>18</v>
      </c>
      <c r="AA42" s="39">
        <f t="shared" si="12"/>
        <v>19</v>
      </c>
      <c r="AB42" s="39">
        <f t="shared" si="12"/>
        <v>20</v>
      </c>
      <c r="AC42" s="39">
        <f t="shared" si="12"/>
        <v>21</v>
      </c>
      <c r="AD42" s="39">
        <f t="shared" si="12"/>
        <v>22</v>
      </c>
      <c r="AE42" s="39">
        <f t="shared" si="12"/>
        <v>23</v>
      </c>
      <c r="AF42" s="39">
        <f t="shared" si="12"/>
        <v>24</v>
      </c>
      <c r="AG42" s="39">
        <f t="shared" si="12"/>
        <v>25</v>
      </c>
      <c r="AH42" s="39">
        <f t="shared" si="12"/>
        <v>26</v>
      </c>
      <c r="AI42" s="39">
        <f t="shared" si="12"/>
        <v>27</v>
      </c>
      <c r="AJ42" s="39">
        <f t="shared" si="12"/>
        <v>28</v>
      </c>
      <c r="AK42" s="39">
        <f t="shared" si="12"/>
        <v>29</v>
      </c>
      <c r="AL42" s="39">
        <f t="shared" si="12"/>
        <v>30</v>
      </c>
      <c r="AM42" s="39">
        <f t="shared" si="12"/>
        <v>31</v>
      </c>
    </row>
    <row r="43" spans="1:39" hidden="1" outlineLevel="1" x14ac:dyDescent="0.2">
      <c r="A43" s="37"/>
      <c r="B43" s="37"/>
      <c r="C43" s="37"/>
      <c r="D43" s="37"/>
      <c r="E43" s="37"/>
      <c r="F43" s="37"/>
      <c r="G43" s="37"/>
      <c r="H43" s="37"/>
      <c r="I43" s="38" t="str">
        <f t="shared" ref="I43:AM43" si="13">IF(COLUMN()-8&lt;=DAY(EOMONTH($A$41,0)),CHOOSE(WEEKDAY($A$41+COLUMN()-9,2),"L","M","X","J","V","S","D"),"")</f>
        <v>S</v>
      </c>
      <c r="J43" s="38" t="str">
        <f t="shared" si="13"/>
        <v>D</v>
      </c>
      <c r="K43" s="38" t="str">
        <f t="shared" si="13"/>
        <v>L</v>
      </c>
      <c r="L43" s="38" t="str">
        <f t="shared" si="13"/>
        <v>M</v>
      </c>
      <c r="M43" s="38" t="str">
        <f t="shared" si="13"/>
        <v>X</v>
      </c>
      <c r="N43" s="38" t="str">
        <f t="shared" si="13"/>
        <v>J</v>
      </c>
      <c r="O43" s="38" t="str">
        <f t="shared" si="13"/>
        <v>V</v>
      </c>
      <c r="P43" s="38" t="str">
        <f t="shared" si="13"/>
        <v>S</v>
      </c>
      <c r="Q43" s="38" t="str">
        <f t="shared" si="13"/>
        <v>D</v>
      </c>
      <c r="R43" s="38" t="str">
        <f t="shared" si="13"/>
        <v>L</v>
      </c>
      <c r="S43" s="38" t="str">
        <f t="shared" si="13"/>
        <v>M</v>
      </c>
      <c r="T43" s="38" t="str">
        <f t="shared" si="13"/>
        <v>X</v>
      </c>
      <c r="U43" s="38" t="str">
        <f t="shared" si="13"/>
        <v>J</v>
      </c>
      <c r="V43" s="38" t="str">
        <f t="shared" si="13"/>
        <v>V</v>
      </c>
      <c r="W43" s="38" t="str">
        <f t="shared" si="13"/>
        <v>S</v>
      </c>
      <c r="X43" s="38" t="str">
        <f t="shared" si="13"/>
        <v>D</v>
      </c>
      <c r="Y43" s="38" t="str">
        <f t="shared" si="13"/>
        <v>L</v>
      </c>
      <c r="Z43" s="38" t="str">
        <f t="shared" si="13"/>
        <v>M</v>
      </c>
      <c r="AA43" s="38" t="str">
        <f t="shared" si="13"/>
        <v>X</v>
      </c>
      <c r="AB43" s="38" t="str">
        <f t="shared" si="13"/>
        <v>J</v>
      </c>
      <c r="AC43" s="38" t="str">
        <f t="shared" si="13"/>
        <v>V</v>
      </c>
      <c r="AD43" s="38" t="str">
        <f t="shared" si="13"/>
        <v>S</v>
      </c>
      <c r="AE43" s="38" t="str">
        <f t="shared" si="13"/>
        <v>D</v>
      </c>
      <c r="AF43" s="38" t="str">
        <f t="shared" si="13"/>
        <v>L</v>
      </c>
      <c r="AG43" s="38" t="str">
        <f t="shared" si="13"/>
        <v>M</v>
      </c>
      <c r="AH43" s="38" t="str">
        <f t="shared" si="13"/>
        <v>X</v>
      </c>
      <c r="AI43" s="38" t="str">
        <f t="shared" si="13"/>
        <v>J</v>
      </c>
      <c r="AJ43" s="38" t="str">
        <f t="shared" si="13"/>
        <v>V</v>
      </c>
      <c r="AK43" s="38" t="str">
        <f t="shared" si="13"/>
        <v>S</v>
      </c>
      <c r="AL43" s="38" t="str">
        <f t="shared" si="13"/>
        <v>D</v>
      </c>
      <c r="AM43" s="38" t="str">
        <f t="shared" si="13"/>
        <v>L</v>
      </c>
    </row>
    <row r="44" spans="1:39" hidden="1" outlineLevel="1" x14ac:dyDescent="0.2">
      <c r="A44" s="52" t="str">
        <f ca="1">IF(Residentes!A6="","",Residentes!C6)</f>
        <v>R4</v>
      </c>
      <c r="B44" s="43" t="str">
        <f>IF(Residentes!A6="","",Residentes!A6)</f>
        <v>Olatz Lopetegui</v>
      </c>
      <c r="C44" s="44">
        <f t="shared" ref="C44:C58" si="14">COUNTIF($I44:$AM44,"G")</f>
        <v>0</v>
      </c>
      <c r="D44" s="45">
        <f t="shared" ref="D44:D58" si="15">COUNTIF($I44:$AM44,"GF")</f>
        <v>0</v>
      </c>
      <c r="E44" s="45">
        <f t="shared" ref="E44:E58" si="16">COUNTIF($I44:$AM44,"GP")</f>
        <v>0</v>
      </c>
      <c r="F44" s="46">
        <f t="shared" ref="F44:F58" si="17">COUNTIF($I44:$AM44,"3P")</f>
        <v>0</v>
      </c>
      <c r="G44" s="47" cm="1">
        <f t="array" ref="G44">SUMPRODUCT((($I$43:$AM$43="S")+($I$43:$AM$43="D"))*(($I44:$AM44="G")+($I44:$AM44="GF")+($I44:$AM44="GP")))</f>
        <v>0</v>
      </c>
      <c r="H44" s="47" cm="1">
        <f t="array" ref="H44">SUMPRODUCT(($I$43:$AK$43="V")*(($I44:$AK44="G")+($I44:$AK44="GF")+($I44:$AK44="GP"))*(($K44:$AM44="G")+($K44:$AM44="GF")+($K44:$AM44="GP")))</f>
        <v>0</v>
      </c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</row>
    <row r="45" spans="1:39" hidden="1" outlineLevel="1" x14ac:dyDescent="0.2">
      <c r="A45" s="52" t="str">
        <f ca="1">IF(Residentes!A7="","",Residentes!C7)</f>
        <v>R4</v>
      </c>
      <c r="B45" s="43" t="str">
        <f>IF(Residentes!A7="","",Residentes!A7)</f>
        <v>Sarai Moliner</v>
      </c>
      <c r="C45" s="44">
        <f t="shared" si="14"/>
        <v>0</v>
      </c>
      <c r="D45" s="45">
        <f t="shared" si="15"/>
        <v>0</v>
      </c>
      <c r="E45" s="45">
        <f t="shared" si="16"/>
        <v>0</v>
      </c>
      <c r="F45" s="46">
        <f t="shared" si="17"/>
        <v>0</v>
      </c>
      <c r="G45" s="47" cm="1">
        <f t="array" ref="G45">SUMPRODUCT((($I$43:$AM$43="S")+($I$43:$AM$43="D"))*(($I45:$AM45="G")+($I45:$AM45="GF")+($I45:$AM45="GP")))</f>
        <v>0</v>
      </c>
      <c r="H45" s="47" cm="1">
        <f t="array" ref="H45">SUMPRODUCT(($I$43:$AK$43="V")*(($I45:$AK45="G")+($I45:$AK45="GF")+($I45:$AK45="GP"))*(($K45:$AM45="G")+($K45:$AM45="GF")+($K45:$AM45="GP")))</f>
        <v>0</v>
      </c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</row>
    <row r="46" spans="1:39" hidden="1" outlineLevel="1" x14ac:dyDescent="0.2">
      <c r="A46" s="52" t="str">
        <f ca="1">IF(Residentes!A8="","",Residentes!C8)</f>
        <v>R4</v>
      </c>
      <c r="B46" s="43" t="str">
        <f>IF(Residentes!A8="","",Residentes!A8)</f>
        <v>Rocío Cutillas</v>
      </c>
      <c r="C46" s="44">
        <f t="shared" si="14"/>
        <v>0</v>
      </c>
      <c r="D46" s="45">
        <f t="shared" si="15"/>
        <v>0</v>
      </c>
      <c r="E46" s="45">
        <f t="shared" si="16"/>
        <v>0</v>
      </c>
      <c r="F46" s="46">
        <f t="shared" si="17"/>
        <v>0</v>
      </c>
      <c r="G46" s="47" cm="1">
        <f t="array" ref="G46">SUMPRODUCT((($I$43:$AM$43="S")+($I$43:$AM$43="D"))*(($I46:$AM46="G")+($I46:$AM46="GF")+($I46:$AM46="GP")))</f>
        <v>0</v>
      </c>
      <c r="H46" s="47" cm="1">
        <f t="array" ref="H46">SUMPRODUCT(($I$43:$AK$43="V")*(($I46:$AK46="G")+($I46:$AK46="GF")+($I46:$AK46="GP"))*(($K46:$AM46="G")+($K46:$AM46="GF")+($K46:$AM46="GP")))</f>
        <v>0</v>
      </c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</row>
    <row r="47" spans="1:39" hidden="1" outlineLevel="1" x14ac:dyDescent="0.2">
      <c r="A47" s="52" t="str">
        <f ca="1">IF(Residentes!A9="","",Residentes!C9)</f>
        <v>R3</v>
      </c>
      <c r="B47" s="43" t="str">
        <f>IF(Residentes!A9="","",Residentes!A9)</f>
        <v>Emi Tumbarello</v>
      </c>
      <c r="C47" s="44">
        <f t="shared" si="14"/>
        <v>0</v>
      </c>
      <c r="D47" s="45">
        <f t="shared" si="15"/>
        <v>0</v>
      </c>
      <c r="E47" s="45">
        <f t="shared" si="16"/>
        <v>0</v>
      </c>
      <c r="F47" s="46">
        <f t="shared" si="17"/>
        <v>0</v>
      </c>
      <c r="G47" s="47" cm="1">
        <f t="array" ref="G47">SUMPRODUCT((($I$43:$AM$43="S")+($I$43:$AM$43="D"))*(($I47:$AM47="G")+($I47:$AM47="GF")+($I47:$AM47="GP")))</f>
        <v>0</v>
      </c>
      <c r="H47" s="47" cm="1">
        <f t="array" ref="H47">SUMPRODUCT(($I$43:$AK$43="V")*(($I47:$AK47="G")+($I47:$AK47="GF")+($I47:$AK47="GP"))*(($K47:$AM47="G")+($K47:$AM47="GF")+($K47:$AM47="GP")))</f>
        <v>0</v>
      </c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</row>
    <row r="48" spans="1:39" hidden="1" outlineLevel="1" x14ac:dyDescent="0.2">
      <c r="A48" s="52" t="str">
        <f ca="1">IF(Residentes!A10="","",Residentes!C10)</f>
        <v>R3</v>
      </c>
      <c r="B48" s="43" t="str">
        <f>IF(Residentes!A10="","",Residentes!A10)</f>
        <v>Teresa Mateo</v>
      </c>
      <c r="C48" s="44">
        <f t="shared" si="14"/>
        <v>0</v>
      </c>
      <c r="D48" s="45">
        <f t="shared" si="15"/>
        <v>0</v>
      </c>
      <c r="E48" s="45">
        <f t="shared" si="16"/>
        <v>0</v>
      </c>
      <c r="F48" s="46">
        <f t="shared" si="17"/>
        <v>0</v>
      </c>
      <c r="G48" s="47" cm="1">
        <f t="array" ref="G48">SUMPRODUCT((($I$43:$AM$43="S")+($I$43:$AM$43="D"))*(($I48:$AM48="G")+($I48:$AM48="GF")+($I48:$AM48="GP")))</f>
        <v>0</v>
      </c>
      <c r="H48" s="47" cm="1">
        <f t="array" ref="H48">SUMPRODUCT(($I$43:$AK$43="V")*(($I48:$AK48="G")+($I48:$AK48="GF")+($I48:$AK48="GP"))*(($K48:$AM48="G")+($K48:$AM48="GF")+($K48:$AM48="GP")))</f>
        <v>0</v>
      </c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</row>
    <row r="49" spans="1:39" hidden="1" outlineLevel="1" x14ac:dyDescent="0.2">
      <c r="A49" s="52" t="str">
        <f ca="1">IF(Residentes!A11="","",Residentes!C11)</f>
        <v>R3</v>
      </c>
      <c r="B49" s="43" t="str">
        <f>IF(Residentes!A11="","",Residentes!A11)</f>
        <v>Elena Sansano</v>
      </c>
      <c r="C49" s="44">
        <f t="shared" si="14"/>
        <v>0</v>
      </c>
      <c r="D49" s="45">
        <f t="shared" si="15"/>
        <v>0</v>
      </c>
      <c r="E49" s="45">
        <f t="shared" si="16"/>
        <v>0</v>
      </c>
      <c r="F49" s="46">
        <f t="shared" si="17"/>
        <v>0</v>
      </c>
      <c r="G49" s="47" cm="1">
        <f t="array" ref="G49">SUMPRODUCT((($I$43:$AM$43="S")+($I$43:$AM$43="D"))*(($I49:$AM49="G")+($I49:$AM49="GF")+($I49:$AM49="GP")))</f>
        <v>0</v>
      </c>
      <c r="H49" s="47" cm="1">
        <f t="array" ref="H49">SUMPRODUCT(($I$43:$AK$43="V")*(($I49:$AK49="G")+($I49:$AK49="GF")+($I49:$AK49="GP"))*(($K49:$AM49="G")+($K49:$AM49="GF")+($K49:$AM49="GP")))</f>
        <v>0</v>
      </c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</row>
    <row r="50" spans="1:39" hidden="1" outlineLevel="1" x14ac:dyDescent="0.2">
      <c r="A50" s="52" t="str">
        <f ca="1">IF(Residentes!A12="","",Residentes!C12)</f>
        <v>R3</v>
      </c>
      <c r="B50" s="43" t="str">
        <f>IF(Residentes!A12="","",Residentes!A12)</f>
        <v>Enrique Montiel</v>
      </c>
      <c r="C50" s="44">
        <f t="shared" si="14"/>
        <v>0</v>
      </c>
      <c r="D50" s="45">
        <f t="shared" si="15"/>
        <v>0</v>
      </c>
      <c r="E50" s="45">
        <f t="shared" si="16"/>
        <v>0</v>
      </c>
      <c r="F50" s="46">
        <f t="shared" si="17"/>
        <v>0</v>
      </c>
      <c r="G50" s="47" cm="1">
        <f t="array" ref="G50">SUMPRODUCT((($I$43:$AM$43="S")+($I$43:$AM$43="D"))*(($I50:$AM50="G")+($I50:$AM50="GF")+($I50:$AM50="GP")))</f>
        <v>0</v>
      </c>
      <c r="H50" s="47" cm="1">
        <f t="array" ref="H50">SUMPRODUCT(($I$43:$AK$43="V")*(($I50:$AK50="G")+($I50:$AK50="GF")+($I50:$AK50="GP"))*(($K50:$AM50="G")+($K50:$AM50="GF")+($K50:$AM50="GP")))</f>
        <v>0</v>
      </c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</row>
    <row r="51" spans="1:39" hidden="1" outlineLevel="1" x14ac:dyDescent="0.2">
      <c r="A51" s="52" t="str">
        <f ca="1">IF(Residentes!A13="","",Residentes!C13)</f>
        <v>R2</v>
      </c>
      <c r="B51" s="43" t="str">
        <f>IF(Residentes!A13="","",Residentes!A13)</f>
        <v>Fran Zomosa</v>
      </c>
      <c r="C51" s="44">
        <f t="shared" si="14"/>
        <v>0</v>
      </c>
      <c r="D51" s="45">
        <f t="shared" si="15"/>
        <v>0</v>
      </c>
      <c r="E51" s="45">
        <f t="shared" si="16"/>
        <v>0</v>
      </c>
      <c r="F51" s="46">
        <f t="shared" si="17"/>
        <v>0</v>
      </c>
      <c r="G51" s="47" cm="1">
        <f t="array" ref="G51">SUMPRODUCT((($I$43:$AM$43="S")+($I$43:$AM$43="D"))*(($I51:$AM51="G")+($I51:$AM51="GF")+($I51:$AM51="GP")))</f>
        <v>0</v>
      </c>
      <c r="H51" s="47" cm="1">
        <f t="array" ref="H51">SUMPRODUCT(($I$43:$AK$43="V")*(($I51:$AK51="G")+($I51:$AK51="GF")+($I51:$AK51="GP"))*(($K51:$AM51="G")+($K51:$AM51="GF")+($K51:$AM51="GP")))</f>
        <v>0</v>
      </c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</row>
    <row r="52" spans="1:39" hidden="1" outlineLevel="1" x14ac:dyDescent="0.2">
      <c r="A52" s="52" t="str">
        <f ca="1">IF(Residentes!A14="","",Residentes!C14)</f>
        <v>R2</v>
      </c>
      <c r="B52" s="43" t="str">
        <f>IF(Residentes!A14="","",Residentes!A14)</f>
        <v>Agus Lagioiosa</v>
      </c>
      <c r="C52" s="44">
        <f t="shared" si="14"/>
        <v>0</v>
      </c>
      <c r="D52" s="45">
        <f t="shared" si="15"/>
        <v>0</v>
      </c>
      <c r="E52" s="45">
        <f t="shared" si="16"/>
        <v>0</v>
      </c>
      <c r="F52" s="46">
        <f t="shared" si="17"/>
        <v>0</v>
      </c>
      <c r="G52" s="47" cm="1">
        <f t="array" ref="G52">SUMPRODUCT((($I$43:$AM$43="S")+($I$43:$AM$43="D"))*(($I52:$AM52="G")+($I52:$AM52="GF")+($I52:$AM52="GP")))</f>
        <v>0</v>
      </c>
      <c r="H52" s="47" cm="1">
        <f t="array" ref="H52">SUMPRODUCT(($I$43:$AK$43="V")*(($I52:$AK52="G")+($I52:$AK52="GF")+($I52:$AK52="GP"))*(($K52:$AM52="G")+($K52:$AM52="GF")+($K52:$AM52="GP")))</f>
        <v>0</v>
      </c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</row>
    <row r="53" spans="1:39" hidden="1" outlineLevel="1" x14ac:dyDescent="0.2">
      <c r="A53" s="52" t="str">
        <f ca="1">IF(Residentes!A15="","",Residentes!C15)</f>
        <v>R2</v>
      </c>
      <c r="B53" s="43" t="str">
        <f>IF(Residentes!A15="","",Residentes!A15)</f>
        <v>Elena Bonastre</v>
      </c>
      <c r="C53" s="44">
        <f t="shared" si="14"/>
        <v>0</v>
      </c>
      <c r="D53" s="45">
        <f t="shared" si="15"/>
        <v>0</v>
      </c>
      <c r="E53" s="45">
        <f t="shared" si="16"/>
        <v>0</v>
      </c>
      <c r="F53" s="46">
        <f t="shared" si="17"/>
        <v>0</v>
      </c>
      <c r="G53" s="47" cm="1">
        <f t="array" ref="G53">SUMPRODUCT((($I$43:$AM$43="S")+($I$43:$AM$43="D"))*(($I53:$AM53="G")+($I53:$AM53="GF")+($I53:$AM53="GP")))</f>
        <v>0</v>
      </c>
      <c r="H53" s="47" cm="1">
        <f t="array" ref="H53">SUMPRODUCT(($I$43:$AK$43="V")*(($I53:$AK53="G")+($I53:$AK53="GF")+($I53:$AK53="GP"))*(($K53:$AM53="G")+($K53:$AM53="GF")+($K53:$AM53="GP")))</f>
        <v>0</v>
      </c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</row>
    <row r="54" spans="1:39" hidden="1" outlineLevel="1" x14ac:dyDescent="0.2">
      <c r="A54" s="52" t="str">
        <f ca="1">IF(Residentes!A16="","",Residentes!C16)</f>
        <v>R2</v>
      </c>
      <c r="B54" s="43" t="str">
        <f>IF(Residentes!A16="","",Residentes!A16)</f>
        <v>María Armengol</v>
      </c>
      <c r="C54" s="44">
        <f t="shared" si="14"/>
        <v>0</v>
      </c>
      <c r="D54" s="45">
        <f t="shared" si="15"/>
        <v>0</v>
      </c>
      <c r="E54" s="45">
        <f t="shared" si="16"/>
        <v>0</v>
      </c>
      <c r="F54" s="46">
        <f t="shared" si="17"/>
        <v>0</v>
      </c>
      <c r="G54" s="47" cm="1">
        <f t="array" ref="G54">SUMPRODUCT((($I$43:$AM$43="S")+($I$43:$AM$43="D"))*(($I54:$AM54="G")+($I54:$AM54="GF")+($I54:$AM54="GP")))</f>
        <v>0</v>
      </c>
      <c r="H54" s="47" cm="1">
        <f t="array" ref="H54">SUMPRODUCT(($I$43:$AK$43="V")*(($I54:$AK54="G")+($I54:$AK54="GF")+($I54:$AK54="GP"))*(($K54:$AM54="G")+($K54:$AM54="GF")+($K54:$AM54="GP")))</f>
        <v>0</v>
      </c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</row>
    <row r="55" spans="1:39" hidden="1" outlineLevel="1" x14ac:dyDescent="0.2">
      <c r="A55" s="52" t="str">
        <f ca="1">IF(Residentes!A17="","",Residentes!C17)</f>
        <v>R1</v>
      </c>
      <c r="B55" s="43" t="str">
        <f>IF(Residentes!A17="","",Residentes!A17)</f>
        <v>Jaime Normand</v>
      </c>
      <c r="C55" s="44">
        <f t="shared" si="14"/>
        <v>0</v>
      </c>
      <c r="D55" s="45">
        <f t="shared" si="15"/>
        <v>0</v>
      </c>
      <c r="E55" s="45">
        <f t="shared" si="16"/>
        <v>0</v>
      </c>
      <c r="F55" s="46">
        <f t="shared" si="17"/>
        <v>0</v>
      </c>
      <c r="G55" s="47" cm="1">
        <f t="array" ref="G55">SUMPRODUCT((($I$43:$AM$43="S")+($I$43:$AM$43="D"))*(($I55:$AM55="G")+($I55:$AM55="GF")+($I55:$AM55="GP")))</f>
        <v>0</v>
      </c>
      <c r="H55" s="47" cm="1">
        <f t="array" ref="H55">SUMPRODUCT(($I$43:$AK$43="V")*(($I55:$AK55="G")+($I55:$AK55="GF")+($I55:$AK55="GP"))*(($K55:$AM55="G")+($K55:$AM55="GF")+($K55:$AM55="GP")))</f>
        <v>0</v>
      </c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</row>
    <row r="56" spans="1:39" hidden="1" outlineLevel="1" x14ac:dyDescent="0.2">
      <c r="A56" s="52" t="str">
        <f ca="1">IF(Residentes!A18="","",Residentes!C18)</f>
        <v>R1</v>
      </c>
      <c r="B56" s="43" t="str">
        <f>IF(Residentes!A18="","",Residentes!A18)</f>
        <v>Stephanie Aparicio</v>
      </c>
      <c r="C56" s="44">
        <f t="shared" si="14"/>
        <v>0</v>
      </c>
      <c r="D56" s="45">
        <f t="shared" si="15"/>
        <v>0</v>
      </c>
      <c r="E56" s="45">
        <f t="shared" si="16"/>
        <v>0</v>
      </c>
      <c r="F56" s="46">
        <f t="shared" si="17"/>
        <v>0</v>
      </c>
      <c r="G56" s="47" cm="1">
        <f t="array" ref="G56">SUMPRODUCT((($I$43:$AM$43="S")+($I$43:$AM$43="D"))*(($I56:$AM56="G")+($I56:$AM56="GF")+($I56:$AM56="GP")))</f>
        <v>0</v>
      </c>
      <c r="H56" s="47" cm="1">
        <f t="array" ref="H56">SUMPRODUCT(($I$43:$AK$43="V")*(($I56:$AK56="G")+($I56:$AK56="GF")+($I56:$AK56="GP"))*(($K56:$AM56="G")+($K56:$AM56="GF")+($K56:$AM56="GP")))</f>
        <v>0</v>
      </c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</row>
    <row r="57" spans="1:39" hidden="1" outlineLevel="1" x14ac:dyDescent="0.2">
      <c r="A57" s="52" t="str">
        <f ca="1">IF(Residentes!A19="","",Residentes!C19)</f>
        <v>R1</v>
      </c>
      <c r="B57" s="43" t="str">
        <f>IF(Residentes!A19="","",Residentes!A19)</f>
        <v>Marta Martínez</v>
      </c>
      <c r="C57" s="44">
        <f t="shared" si="14"/>
        <v>0</v>
      </c>
      <c r="D57" s="45">
        <f t="shared" si="15"/>
        <v>0</v>
      </c>
      <c r="E57" s="45">
        <f t="shared" si="16"/>
        <v>0</v>
      </c>
      <c r="F57" s="46">
        <f t="shared" si="17"/>
        <v>0</v>
      </c>
      <c r="G57" s="47" cm="1">
        <f t="array" ref="G57">SUMPRODUCT((($I$43:$AM$43="S")+($I$43:$AM$43="D"))*(($I57:$AM57="G")+($I57:$AM57="GF")+($I57:$AM57="GP")))</f>
        <v>0</v>
      </c>
      <c r="H57" s="47" cm="1">
        <f t="array" ref="H57">SUMPRODUCT(($I$43:$AK$43="V")*(($I57:$AK57="G")+($I57:$AK57="GF")+($I57:$AK57="GP"))*(($K57:$AM57="G")+($K57:$AM57="GF")+($K57:$AM57="GP")))</f>
        <v>0</v>
      </c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</row>
    <row r="58" spans="1:39" hidden="1" outlineLevel="1" x14ac:dyDescent="0.2">
      <c r="A58" s="52" t="str">
        <f ca="1">IF(Residentes!A20="","",Residentes!C20)</f>
        <v>R1</v>
      </c>
      <c r="B58" s="43" t="str">
        <f>IF(Residentes!A20="","",Residentes!A20)</f>
        <v>Manuel Cortés</v>
      </c>
      <c r="C58" s="44">
        <f t="shared" si="14"/>
        <v>0</v>
      </c>
      <c r="D58" s="45">
        <f t="shared" si="15"/>
        <v>0</v>
      </c>
      <c r="E58" s="45">
        <f t="shared" si="16"/>
        <v>0</v>
      </c>
      <c r="F58" s="46">
        <f t="shared" si="17"/>
        <v>0</v>
      </c>
      <c r="G58" s="47" cm="1">
        <f t="array" ref="G58">SUMPRODUCT((($I$43:$AM$43="S")+($I$43:$AM$43="D"))*(($I58:$AM58="G")+($I58:$AM58="GF")+($I58:$AM58="GP")))</f>
        <v>0</v>
      </c>
      <c r="H58" s="47" cm="1">
        <f t="array" ref="H58">SUMPRODUCT(($I$43:$AK$43="V")*(($I58:$AK58="G")+($I58:$AK58="GF")+($I58:$AK58="GP"))*(($K58:$AM58="G")+($K58:$AM58="GF")+($K58:$AM58="GP")))</f>
        <v>0</v>
      </c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</row>
    <row r="59" spans="1:39" collapsed="1" x14ac:dyDescent="0.2"/>
    <row r="60" spans="1:39" ht="20" customHeight="1" x14ac:dyDescent="0.2">
      <c r="A60" s="61">
        <v>46266</v>
      </c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</row>
    <row r="61" spans="1:39" ht="24" hidden="1" customHeight="1" outlineLevel="1" x14ac:dyDescent="0.2">
      <c r="A61" s="25" t="s">
        <v>9</v>
      </c>
      <c r="B61" s="25" t="s">
        <v>10</v>
      </c>
      <c r="C61" s="25" t="s">
        <v>11</v>
      </c>
      <c r="D61" s="25" t="s">
        <v>12</v>
      </c>
      <c r="E61" s="25" t="s">
        <v>109</v>
      </c>
      <c r="F61" s="25" t="s">
        <v>13</v>
      </c>
      <c r="G61" s="25" t="s">
        <v>14</v>
      </c>
      <c r="H61" s="25" t="s">
        <v>15</v>
      </c>
      <c r="I61" s="39">
        <f t="shared" ref="I61:AM61" si="18">IF(COLUMN()-8&lt;=DAY(EOMONTH($A$60,0)),COLUMN()-8,"")</f>
        <v>1</v>
      </c>
      <c r="J61" s="39">
        <f t="shared" si="18"/>
        <v>2</v>
      </c>
      <c r="K61" s="39">
        <f t="shared" si="18"/>
        <v>3</v>
      </c>
      <c r="L61" s="39">
        <f t="shared" si="18"/>
        <v>4</v>
      </c>
      <c r="M61" s="39">
        <f t="shared" si="18"/>
        <v>5</v>
      </c>
      <c r="N61" s="39">
        <f t="shared" si="18"/>
        <v>6</v>
      </c>
      <c r="O61" s="39">
        <f t="shared" si="18"/>
        <v>7</v>
      </c>
      <c r="P61" s="39">
        <f t="shared" si="18"/>
        <v>8</v>
      </c>
      <c r="Q61" s="39">
        <f t="shared" si="18"/>
        <v>9</v>
      </c>
      <c r="R61" s="39">
        <f t="shared" si="18"/>
        <v>10</v>
      </c>
      <c r="S61" s="39">
        <f t="shared" si="18"/>
        <v>11</v>
      </c>
      <c r="T61" s="39">
        <f t="shared" si="18"/>
        <v>12</v>
      </c>
      <c r="U61" s="39">
        <f t="shared" si="18"/>
        <v>13</v>
      </c>
      <c r="V61" s="39">
        <f t="shared" si="18"/>
        <v>14</v>
      </c>
      <c r="W61" s="39">
        <f t="shared" si="18"/>
        <v>15</v>
      </c>
      <c r="X61" s="39">
        <f t="shared" si="18"/>
        <v>16</v>
      </c>
      <c r="Y61" s="39">
        <f t="shared" si="18"/>
        <v>17</v>
      </c>
      <c r="Z61" s="39">
        <f t="shared" si="18"/>
        <v>18</v>
      </c>
      <c r="AA61" s="39">
        <f t="shared" si="18"/>
        <v>19</v>
      </c>
      <c r="AB61" s="39">
        <f t="shared" si="18"/>
        <v>20</v>
      </c>
      <c r="AC61" s="39">
        <f t="shared" si="18"/>
        <v>21</v>
      </c>
      <c r="AD61" s="39">
        <f t="shared" si="18"/>
        <v>22</v>
      </c>
      <c r="AE61" s="39">
        <f t="shared" si="18"/>
        <v>23</v>
      </c>
      <c r="AF61" s="39">
        <f t="shared" si="18"/>
        <v>24</v>
      </c>
      <c r="AG61" s="39">
        <f t="shared" si="18"/>
        <v>25</v>
      </c>
      <c r="AH61" s="39">
        <f t="shared" si="18"/>
        <v>26</v>
      </c>
      <c r="AI61" s="39">
        <f t="shared" si="18"/>
        <v>27</v>
      </c>
      <c r="AJ61" s="39">
        <f t="shared" si="18"/>
        <v>28</v>
      </c>
      <c r="AK61" s="39">
        <f t="shared" si="18"/>
        <v>29</v>
      </c>
      <c r="AL61" s="39">
        <f t="shared" si="18"/>
        <v>30</v>
      </c>
      <c r="AM61" s="39" t="str">
        <f t="shared" si="18"/>
        <v/>
      </c>
    </row>
    <row r="62" spans="1:39" hidden="1" outlineLevel="1" x14ac:dyDescent="0.2">
      <c r="A62" s="37"/>
      <c r="B62" s="37"/>
      <c r="C62" s="37"/>
      <c r="D62" s="37"/>
      <c r="E62" s="37"/>
      <c r="F62" s="37"/>
      <c r="G62" s="37"/>
      <c r="H62" s="37"/>
      <c r="I62" s="38" t="str">
        <f t="shared" ref="I62:AM62" si="19">IF(COLUMN()-8&lt;=DAY(EOMONTH($A$60,0)),CHOOSE(WEEKDAY($A$60+COLUMN()-9,2),"L","M","X","J","V","S","D"),"")</f>
        <v>M</v>
      </c>
      <c r="J62" s="38" t="str">
        <f t="shared" si="19"/>
        <v>X</v>
      </c>
      <c r="K62" s="38" t="str">
        <f t="shared" si="19"/>
        <v>J</v>
      </c>
      <c r="L62" s="38" t="str">
        <f t="shared" si="19"/>
        <v>V</v>
      </c>
      <c r="M62" s="38" t="str">
        <f t="shared" si="19"/>
        <v>S</v>
      </c>
      <c r="N62" s="38" t="str">
        <f t="shared" si="19"/>
        <v>D</v>
      </c>
      <c r="O62" s="38" t="str">
        <f t="shared" si="19"/>
        <v>L</v>
      </c>
      <c r="P62" s="38" t="str">
        <f t="shared" si="19"/>
        <v>M</v>
      </c>
      <c r="Q62" s="38" t="str">
        <f t="shared" si="19"/>
        <v>X</v>
      </c>
      <c r="R62" s="38" t="str">
        <f t="shared" si="19"/>
        <v>J</v>
      </c>
      <c r="S62" s="38" t="str">
        <f t="shared" si="19"/>
        <v>V</v>
      </c>
      <c r="T62" s="38" t="str">
        <f t="shared" si="19"/>
        <v>S</v>
      </c>
      <c r="U62" s="38" t="str">
        <f t="shared" si="19"/>
        <v>D</v>
      </c>
      <c r="V62" s="38" t="str">
        <f t="shared" si="19"/>
        <v>L</v>
      </c>
      <c r="W62" s="38" t="str">
        <f t="shared" si="19"/>
        <v>M</v>
      </c>
      <c r="X62" s="38" t="str">
        <f t="shared" si="19"/>
        <v>X</v>
      </c>
      <c r="Y62" s="38" t="str">
        <f t="shared" si="19"/>
        <v>J</v>
      </c>
      <c r="Z62" s="38" t="str">
        <f t="shared" si="19"/>
        <v>V</v>
      </c>
      <c r="AA62" s="38" t="str">
        <f t="shared" si="19"/>
        <v>S</v>
      </c>
      <c r="AB62" s="38" t="str">
        <f t="shared" si="19"/>
        <v>D</v>
      </c>
      <c r="AC62" s="38" t="str">
        <f t="shared" si="19"/>
        <v>L</v>
      </c>
      <c r="AD62" s="38" t="str">
        <f t="shared" si="19"/>
        <v>M</v>
      </c>
      <c r="AE62" s="38" t="str">
        <f t="shared" si="19"/>
        <v>X</v>
      </c>
      <c r="AF62" s="38" t="str">
        <f t="shared" si="19"/>
        <v>J</v>
      </c>
      <c r="AG62" s="38" t="str">
        <f t="shared" si="19"/>
        <v>V</v>
      </c>
      <c r="AH62" s="38" t="str">
        <f t="shared" si="19"/>
        <v>S</v>
      </c>
      <c r="AI62" s="38" t="str">
        <f t="shared" si="19"/>
        <v>D</v>
      </c>
      <c r="AJ62" s="38" t="str">
        <f t="shared" si="19"/>
        <v>L</v>
      </c>
      <c r="AK62" s="38" t="str">
        <f t="shared" si="19"/>
        <v>M</v>
      </c>
      <c r="AL62" s="38" t="str">
        <f t="shared" si="19"/>
        <v>X</v>
      </c>
      <c r="AM62" s="38" t="str">
        <f t="shared" si="19"/>
        <v/>
      </c>
    </row>
    <row r="63" spans="1:39" hidden="1" outlineLevel="1" x14ac:dyDescent="0.2">
      <c r="A63" s="52" t="str">
        <f ca="1">IF(Residentes!A6="","",Residentes!C6)</f>
        <v>R4</v>
      </c>
      <c r="B63" s="43" t="str">
        <f>IF(Residentes!A6="","",Residentes!A6)</f>
        <v>Olatz Lopetegui</v>
      </c>
      <c r="C63" s="44">
        <f t="shared" ref="C63:C77" si="20">COUNTIF($I63:$AM63,"G")</f>
        <v>0</v>
      </c>
      <c r="D63" s="45">
        <f t="shared" ref="D63:D77" si="21">COUNTIF($I63:$AM63,"GF")</f>
        <v>0</v>
      </c>
      <c r="E63" s="45">
        <f t="shared" ref="E63:E77" si="22">COUNTIF($I63:$AM63,"GP")</f>
        <v>0</v>
      </c>
      <c r="F63" s="46">
        <f t="shared" ref="F63:F77" si="23">COUNTIF($I63:$AM63,"3P")</f>
        <v>0</v>
      </c>
      <c r="G63" s="47" cm="1">
        <f t="array" ref="G63">SUMPRODUCT((($I$62:$AM$62="S")+($I$62:$AM$62="D"))*(($I63:$AM63="G")+($I63:$AM63="GF")+($I63:$AM63="GP")))</f>
        <v>0</v>
      </c>
      <c r="H63" s="47" cm="1">
        <f t="array" ref="H63">SUMPRODUCT(($I$62:$AK$62="V")*(($I63:$AK63="G")+($I63:$AK63="GF")+($I63:$AK63="GP"))*(($K63:$AM63="G")+($K63:$AM63="GF")+($K63:$AM63="GP")))</f>
        <v>0</v>
      </c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</row>
    <row r="64" spans="1:39" hidden="1" outlineLevel="1" x14ac:dyDescent="0.2">
      <c r="A64" s="52" t="str">
        <f ca="1">IF(Residentes!A7="","",Residentes!C7)</f>
        <v>R4</v>
      </c>
      <c r="B64" s="43" t="str">
        <f>IF(Residentes!A7="","",Residentes!A7)</f>
        <v>Sarai Moliner</v>
      </c>
      <c r="C64" s="44">
        <f t="shared" si="20"/>
        <v>0</v>
      </c>
      <c r="D64" s="45">
        <f t="shared" si="21"/>
        <v>0</v>
      </c>
      <c r="E64" s="45">
        <f t="shared" si="22"/>
        <v>0</v>
      </c>
      <c r="F64" s="46">
        <f t="shared" si="23"/>
        <v>0</v>
      </c>
      <c r="G64" s="47" cm="1">
        <f t="array" ref="G64">SUMPRODUCT((($I$62:$AM$62="S")+($I$62:$AM$62="D"))*(($I64:$AM64="G")+($I64:$AM64="GF")+($I64:$AM64="GP")))</f>
        <v>0</v>
      </c>
      <c r="H64" s="47" cm="1">
        <f t="array" ref="H64">SUMPRODUCT(($I$62:$AK$62="V")*(($I64:$AK64="G")+($I64:$AK64="GF")+($I64:$AK64="GP"))*(($K64:$AM64="G")+($K64:$AM64="GF")+($K64:$AM64="GP")))</f>
        <v>0</v>
      </c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</row>
    <row r="65" spans="1:39" hidden="1" outlineLevel="1" x14ac:dyDescent="0.2">
      <c r="A65" s="52" t="str">
        <f ca="1">IF(Residentes!A8="","",Residentes!C8)</f>
        <v>R4</v>
      </c>
      <c r="B65" s="43" t="str">
        <f>IF(Residentes!A8="","",Residentes!A8)</f>
        <v>Rocío Cutillas</v>
      </c>
      <c r="C65" s="44">
        <f t="shared" si="20"/>
        <v>0</v>
      </c>
      <c r="D65" s="45">
        <f t="shared" si="21"/>
        <v>0</v>
      </c>
      <c r="E65" s="45">
        <f t="shared" si="22"/>
        <v>0</v>
      </c>
      <c r="F65" s="46">
        <f t="shared" si="23"/>
        <v>0</v>
      </c>
      <c r="G65" s="47" cm="1">
        <f t="array" ref="G65">SUMPRODUCT((($I$62:$AM$62="S")+($I$62:$AM$62="D"))*(($I65:$AM65="G")+($I65:$AM65="GF")+($I65:$AM65="GP")))</f>
        <v>0</v>
      </c>
      <c r="H65" s="47" cm="1">
        <f t="array" ref="H65">SUMPRODUCT(($I$62:$AK$62="V")*(($I65:$AK65="G")+($I65:$AK65="GF")+($I65:$AK65="GP"))*(($K65:$AM65="G")+($K65:$AM65="GF")+($K65:$AM65="GP")))</f>
        <v>0</v>
      </c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</row>
    <row r="66" spans="1:39" hidden="1" outlineLevel="1" x14ac:dyDescent="0.2">
      <c r="A66" s="52" t="str">
        <f ca="1">IF(Residentes!A9="","",Residentes!C9)</f>
        <v>R3</v>
      </c>
      <c r="B66" s="43" t="str">
        <f>IF(Residentes!A9="","",Residentes!A9)</f>
        <v>Emi Tumbarello</v>
      </c>
      <c r="C66" s="44">
        <f t="shared" si="20"/>
        <v>0</v>
      </c>
      <c r="D66" s="45">
        <f t="shared" si="21"/>
        <v>0</v>
      </c>
      <c r="E66" s="45">
        <f t="shared" si="22"/>
        <v>0</v>
      </c>
      <c r="F66" s="46">
        <f t="shared" si="23"/>
        <v>0</v>
      </c>
      <c r="G66" s="47" cm="1">
        <f t="array" ref="G66">SUMPRODUCT((($I$62:$AM$62="S")+($I$62:$AM$62="D"))*(($I66:$AM66="G")+($I66:$AM66="GF")+($I66:$AM66="GP")))</f>
        <v>0</v>
      </c>
      <c r="H66" s="47" cm="1">
        <f t="array" ref="H66">SUMPRODUCT(($I$62:$AK$62="V")*(($I66:$AK66="G")+($I66:$AK66="GF")+($I66:$AK66="GP"))*(($K66:$AM66="G")+($K66:$AM66="GF")+($K66:$AM66="GP")))</f>
        <v>0</v>
      </c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</row>
    <row r="67" spans="1:39" hidden="1" outlineLevel="1" x14ac:dyDescent="0.2">
      <c r="A67" s="52" t="str">
        <f ca="1">IF(Residentes!A10="","",Residentes!C10)</f>
        <v>R3</v>
      </c>
      <c r="B67" s="43" t="str">
        <f>IF(Residentes!A10="","",Residentes!A10)</f>
        <v>Teresa Mateo</v>
      </c>
      <c r="C67" s="44">
        <f t="shared" si="20"/>
        <v>0</v>
      </c>
      <c r="D67" s="45">
        <f t="shared" si="21"/>
        <v>0</v>
      </c>
      <c r="E67" s="45">
        <f t="shared" si="22"/>
        <v>0</v>
      </c>
      <c r="F67" s="46">
        <f t="shared" si="23"/>
        <v>0</v>
      </c>
      <c r="G67" s="47" cm="1">
        <f t="array" ref="G67">SUMPRODUCT((($I$62:$AM$62="S")+($I$62:$AM$62="D"))*(($I67:$AM67="G")+($I67:$AM67="GF")+($I67:$AM67="GP")))</f>
        <v>0</v>
      </c>
      <c r="H67" s="47" cm="1">
        <f t="array" ref="H67">SUMPRODUCT(($I$62:$AK$62="V")*(($I67:$AK67="G")+($I67:$AK67="GF")+($I67:$AK67="GP"))*(($K67:$AM67="G")+($K67:$AM67="GF")+($K67:$AM67="GP")))</f>
        <v>0</v>
      </c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</row>
    <row r="68" spans="1:39" hidden="1" outlineLevel="1" x14ac:dyDescent="0.2">
      <c r="A68" s="52" t="str">
        <f ca="1">IF(Residentes!A11="","",Residentes!C11)</f>
        <v>R3</v>
      </c>
      <c r="B68" s="43" t="str">
        <f>IF(Residentes!A11="","",Residentes!A11)</f>
        <v>Elena Sansano</v>
      </c>
      <c r="C68" s="44">
        <f t="shared" si="20"/>
        <v>0</v>
      </c>
      <c r="D68" s="45">
        <f t="shared" si="21"/>
        <v>0</v>
      </c>
      <c r="E68" s="45">
        <f t="shared" si="22"/>
        <v>0</v>
      </c>
      <c r="F68" s="46">
        <f t="shared" si="23"/>
        <v>0</v>
      </c>
      <c r="G68" s="47" cm="1">
        <f t="array" ref="G68">SUMPRODUCT((($I$62:$AM$62="S")+($I$62:$AM$62="D"))*(($I68:$AM68="G")+($I68:$AM68="GF")+($I68:$AM68="GP")))</f>
        <v>0</v>
      </c>
      <c r="H68" s="47" cm="1">
        <f t="array" ref="H68">SUMPRODUCT(($I$62:$AK$62="V")*(($I68:$AK68="G")+($I68:$AK68="GF")+($I68:$AK68="GP"))*(($K68:$AM68="G")+($K68:$AM68="GF")+($K68:$AM68="GP")))</f>
        <v>0</v>
      </c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</row>
    <row r="69" spans="1:39" hidden="1" outlineLevel="1" x14ac:dyDescent="0.2">
      <c r="A69" s="52" t="str">
        <f ca="1">IF(Residentes!A12="","",Residentes!C12)</f>
        <v>R3</v>
      </c>
      <c r="B69" s="43" t="str">
        <f>IF(Residentes!A12="","",Residentes!A12)</f>
        <v>Enrique Montiel</v>
      </c>
      <c r="C69" s="44">
        <f t="shared" si="20"/>
        <v>0</v>
      </c>
      <c r="D69" s="45">
        <f t="shared" si="21"/>
        <v>0</v>
      </c>
      <c r="E69" s="45">
        <f t="shared" si="22"/>
        <v>0</v>
      </c>
      <c r="F69" s="46">
        <f t="shared" si="23"/>
        <v>0</v>
      </c>
      <c r="G69" s="47" cm="1">
        <f t="array" ref="G69">SUMPRODUCT((($I$62:$AM$62="S")+($I$62:$AM$62="D"))*(($I69:$AM69="G")+($I69:$AM69="GF")+($I69:$AM69="GP")))</f>
        <v>0</v>
      </c>
      <c r="H69" s="47" cm="1">
        <f t="array" ref="H69">SUMPRODUCT(($I$62:$AK$62="V")*(($I69:$AK69="G")+($I69:$AK69="GF")+($I69:$AK69="GP"))*(($K69:$AM69="G")+($K69:$AM69="GF")+($K69:$AM69="GP")))</f>
        <v>0</v>
      </c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</row>
    <row r="70" spans="1:39" hidden="1" outlineLevel="1" x14ac:dyDescent="0.2">
      <c r="A70" s="52" t="str">
        <f ca="1">IF(Residentes!A13="","",Residentes!C13)</f>
        <v>R2</v>
      </c>
      <c r="B70" s="43" t="str">
        <f>IF(Residentes!A13="","",Residentes!A13)</f>
        <v>Fran Zomosa</v>
      </c>
      <c r="C70" s="44">
        <f t="shared" si="20"/>
        <v>0</v>
      </c>
      <c r="D70" s="45">
        <f t="shared" si="21"/>
        <v>0</v>
      </c>
      <c r="E70" s="45">
        <f t="shared" si="22"/>
        <v>0</v>
      </c>
      <c r="F70" s="46">
        <f t="shared" si="23"/>
        <v>0</v>
      </c>
      <c r="G70" s="47" cm="1">
        <f t="array" ref="G70">SUMPRODUCT((($I$62:$AM$62="S")+($I$62:$AM$62="D"))*(($I70:$AM70="G")+($I70:$AM70="GF")+($I70:$AM70="GP")))</f>
        <v>0</v>
      </c>
      <c r="H70" s="47" cm="1">
        <f t="array" ref="H70">SUMPRODUCT(($I$62:$AK$62="V")*(($I70:$AK70="G")+($I70:$AK70="GF")+($I70:$AK70="GP"))*(($K70:$AM70="G")+($K70:$AM70="GF")+($K70:$AM70="GP")))</f>
        <v>0</v>
      </c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</row>
    <row r="71" spans="1:39" hidden="1" outlineLevel="1" x14ac:dyDescent="0.2">
      <c r="A71" s="52" t="str">
        <f ca="1">IF(Residentes!A14="","",Residentes!C14)</f>
        <v>R2</v>
      </c>
      <c r="B71" s="43" t="str">
        <f>IF(Residentes!A14="","",Residentes!A14)</f>
        <v>Agus Lagioiosa</v>
      </c>
      <c r="C71" s="44">
        <f t="shared" si="20"/>
        <v>0</v>
      </c>
      <c r="D71" s="45">
        <f t="shared" si="21"/>
        <v>0</v>
      </c>
      <c r="E71" s="45">
        <f t="shared" si="22"/>
        <v>0</v>
      </c>
      <c r="F71" s="46">
        <f t="shared" si="23"/>
        <v>0</v>
      </c>
      <c r="G71" s="47" cm="1">
        <f t="array" ref="G71">SUMPRODUCT((($I$62:$AM$62="S")+($I$62:$AM$62="D"))*(($I71:$AM71="G")+($I71:$AM71="GF")+($I71:$AM71="GP")))</f>
        <v>0</v>
      </c>
      <c r="H71" s="47" cm="1">
        <f t="array" ref="H71">SUMPRODUCT(($I$62:$AK$62="V")*(($I71:$AK71="G")+($I71:$AK71="GF")+($I71:$AK71="GP"))*(($K71:$AM71="G")+($K71:$AM71="GF")+($K71:$AM71="GP")))</f>
        <v>0</v>
      </c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</row>
    <row r="72" spans="1:39" hidden="1" outlineLevel="1" x14ac:dyDescent="0.2">
      <c r="A72" s="52" t="str">
        <f ca="1">IF(Residentes!A15="","",Residentes!C15)</f>
        <v>R2</v>
      </c>
      <c r="B72" s="43" t="str">
        <f>IF(Residentes!A15="","",Residentes!A15)</f>
        <v>Elena Bonastre</v>
      </c>
      <c r="C72" s="44">
        <f t="shared" si="20"/>
        <v>0</v>
      </c>
      <c r="D72" s="45">
        <f t="shared" si="21"/>
        <v>0</v>
      </c>
      <c r="E72" s="45">
        <f t="shared" si="22"/>
        <v>0</v>
      </c>
      <c r="F72" s="46">
        <f t="shared" si="23"/>
        <v>0</v>
      </c>
      <c r="G72" s="47" cm="1">
        <f t="array" ref="G72">SUMPRODUCT((($I$62:$AM$62="S")+($I$62:$AM$62="D"))*(($I72:$AM72="G")+($I72:$AM72="GF")+($I72:$AM72="GP")))</f>
        <v>0</v>
      </c>
      <c r="H72" s="47" cm="1">
        <f t="array" ref="H72">SUMPRODUCT(($I$62:$AK$62="V")*(($I72:$AK72="G")+($I72:$AK72="GF")+($I72:$AK72="GP"))*(($K72:$AM72="G")+($K72:$AM72="GF")+($K72:$AM72="GP")))</f>
        <v>0</v>
      </c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</row>
    <row r="73" spans="1:39" hidden="1" outlineLevel="1" x14ac:dyDescent="0.2">
      <c r="A73" s="52" t="str">
        <f ca="1">IF(Residentes!A16="","",Residentes!C16)</f>
        <v>R2</v>
      </c>
      <c r="B73" s="43" t="str">
        <f>IF(Residentes!A16="","",Residentes!A16)</f>
        <v>María Armengol</v>
      </c>
      <c r="C73" s="44">
        <f t="shared" si="20"/>
        <v>0</v>
      </c>
      <c r="D73" s="45">
        <f t="shared" si="21"/>
        <v>0</v>
      </c>
      <c r="E73" s="45">
        <f t="shared" si="22"/>
        <v>0</v>
      </c>
      <c r="F73" s="46">
        <f t="shared" si="23"/>
        <v>0</v>
      </c>
      <c r="G73" s="47" cm="1">
        <f t="array" ref="G73">SUMPRODUCT((($I$62:$AM$62="S")+($I$62:$AM$62="D"))*(($I73:$AM73="G")+($I73:$AM73="GF")+($I73:$AM73="GP")))</f>
        <v>0</v>
      </c>
      <c r="H73" s="47" cm="1">
        <f t="array" ref="H73">SUMPRODUCT(($I$62:$AK$62="V")*(($I73:$AK73="G")+($I73:$AK73="GF")+($I73:$AK73="GP"))*(($K73:$AM73="G")+($K73:$AM73="GF")+($K73:$AM73="GP")))</f>
        <v>0</v>
      </c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</row>
    <row r="74" spans="1:39" hidden="1" outlineLevel="1" x14ac:dyDescent="0.2">
      <c r="A74" s="52" t="str">
        <f ca="1">IF(Residentes!A17="","",Residentes!C17)</f>
        <v>R1</v>
      </c>
      <c r="B74" s="43" t="str">
        <f>IF(Residentes!A17="","",Residentes!A17)</f>
        <v>Jaime Normand</v>
      </c>
      <c r="C74" s="44">
        <f t="shared" si="20"/>
        <v>0</v>
      </c>
      <c r="D74" s="45">
        <f t="shared" si="21"/>
        <v>0</v>
      </c>
      <c r="E74" s="45">
        <f t="shared" si="22"/>
        <v>0</v>
      </c>
      <c r="F74" s="46">
        <f t="shared" si="23"/>
        <v>0</v>
      </c>
      <c r="G74" s="47" cm="1">
        <f t="array" ref="G74">SUMPRODUCT((($I$62:$AM$62="S")+($I$62:$AM$62="D"))*(($I74:$AM74="G")+($I74:$AM74="GF")+($I74:$AM74="GP")))</f>
        <v>0</v>
      </c>
      <c r="H74" s="47" cm="1">
        <f t="array" ref="H74">SUMPRODUCT(($I$62:$AK$62="V")*(($I74:$AK74="G")+($I74:$AK74="GF")+($I74:$AK74="GP"))*(($K74:$AM74="G")+($K74:$AM74="GF")+($K74:$AM74="GP")))</f>
        <v>0</v>
      </c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</row>
    <row r="75" spans="1:39" hidden="1" outlineLevel="1" x14ac:dyDescent="0.2">
      <c r="A75" s="52" t="str">
        <f ca="1">IF(Residentes!A18="","",Residentes!C18)</f>
        <v>R1</v>
      </c>
      <c r="B75" s="43" t="str">
        <f>IF(Residentes!A18="","",Residentes!A18)</f>
        <v>Stephanie Aparicio</v>
      </c>
      <c r="C75" s="44">
        <f t="shared" si="20"/>
        <v>0</v>
      </c>
      <c r="D75" s="45">
        <f t="shared" si="21"/>
        <v>0</v>
      </c>
      <c r="E75" s="45">
        <f t="shared" si="22"/>
        <v>0</v>
      </c>
      <c r="F75" s="46">
        <f t="shared" si="23"/>
        <v>0</v>
      </c>
      <c r="G75" s="47" cm="1">
        <f t="array" ref="G75">SUMPRODUCT((($I$62:$AM$62="S")+($I$62:$AM$62="D"))*(($I75:$AM75="G")+($I75:$AM75="GF")+($I75:$AM75="GP")))</f>
        <v>0</v>
      </c>
      <c r="H75" s="47" cm="1">
        <f t="array" ref="H75">SUMPRODUCT(($I$62:$AK$62="V")*(($I75:$AK75="G")+($I75:$AK75="GF")+($I75:$AK75="GP"))*(($K75:$AM75="G")+($K75:$AM75="GF")+($K75:$AM75="GP")))</f>
        <v>0</v>
      </c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</row>
    <row r="76" spans="1:39" hidden="1" outlineLevel="1" x14ac:dyDescent="0.2">
      <c r="A76" s="52" t="str">
        <f ca="1">IF(Residentes!A19="","",Residentes!C19)</f>
        <v>R1</v>
      </c>
      <c r="B76" s="43" t="str">
        <f>IF(Residentes!A19="","",Residentes!A19)</f>
        <v>Marta Martínez</v>
      </c>
      <c r="C76" s="44">
        <f t="shared" si="20"/>
        <v>0</v>
      </c>
      <c r="D76" s="45">
        <f t="shared" si="21"/>
        <v>0</v>
      </c>
      <c r="E76" s="45">
        <f t="shared" si="22"/>
        <v>0</v>
      </c>
      <c r="F76" s="46">
        <f t="shared" si="23"/>
        <v>0</v>
      </c>
      <c r="G76" s="47" cm="1">
        <f t="array" ref="G76">SUMPRODUCT((($I$62:$AM$62="S")+($I$62:$AM$62="D"))*(($I76:$AM76="G")+($I76:$AM76="GF")+($I76:$AM76="GP")))</f>
        <v>0</v>
      </c>
      <c r="H76" s="47" cm="1">
        <f t="array" ref="H76">SUMPRODUCT(($I$62:$AK$62="V")*(($I76:$AK76="G")+($I76:$AK76="GF")+($I76:$AK76="GP"))*(($K76:$AM76="G")+($K76:$AM76="GF")+($K76:$AM76="GP")))</f>
        <v>0</v>
      </c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</row>
    <row r="77" spans="1:39" hidden="1" outlineLevel="1" x14ac:dyDescent="0.2">
      <c r="A77" s="52" t="str">
        <f ca="1">IF(Residentes!A20="","",Residentes!C20)</f>
        <v>R1</v>
      </c>
      <c r="B77" s="43" t="str">
        <f>IF(Residentes!A20="","",Residentes!A20)</f>
        <v>Manuel Cortés</v>
      </c>
      <c r="C77" s="44">
        <f t="shared" si="20"/>
        <v>0</v>
      </c>
      <c r="D77" s="45">
        <f t="shared" si="21"/>
        <v>0</v>
      </c>
      <c r="E77" s="45">
        <f t="shared" si="22"/>
        <v>0</v>
      </c>
      <c r="F77" s="46">
        <f t="shared" si="23"/>
        <v>0</v>
      </c>
      <c r="G77" s="47" cm="1">
        <f t="array" ref="G77">SUMPRODUCT((($I$62:$AM$62="S")+($I$62:$AM$62="D"))*(($I77:$AM77="G")+($I77:$AM77="GF")+($I77:$AM77="GP")))</f>
        <v>0</v>
      </c>
      <c r="H77" s="47" cm="1">
        <f t="array" ref="H77">SUMPRODUCT(($I$62:$AK$62="V")*(($I77:$AK77="G")+($I77:$AK77="GF")+($I77:$AK77="GP"))*(($K77:$AM77="G")+($K77:$AM77="GF")+($K77:$AM77="GP")))</f>
        <v>0</v>
      </c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</row>
    <row r="78" spans="1:39" collapsed="1" x14ac:dyDescent="0.2"/>
    <row r="79" spans="1:39" ht="20" customHeight="1" x14ac:dyDescent="0.2">
      <c r="A79" s="61">
        <v>46296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</row>
    <row r="80" spans="1:39" ht="24" hidden="1" customHeight="1" outlineLevel="1" x14ac:dyDescent="0.2">
      <c r="A80" s="25" t="s">
        <v>9</v>
      </c>
      <c r="B80" s="25" t="s">
        <v>10</v>
      </c>
      <c r="C80" s="25" t="s">
        <v>11</v>
      </c>
      <c r="D80" s="25" t="s">
        <v>12</v>
      </c>
      <c r="E80" s="25" t="s">
        <v>109</v>
      </c>
      <c r="F80" s="25" t="s">
        <v>13</v>
      </c>
      <c r="G80" s="25" t="s">
        <v>14</v>
      </c>
      <c r="H80" s="25" t="s">
        <v>15</v>
      </c>
      <c r="I80" s="39">
        <f t="shared" ref="I80:AM80" si="24">IF(COLUMN()-8&lt;=DAY(EOMONTH($A$79,0)),COLUMN()-8,"")</f>
        <v>1</v>
      </c>
      <c r="J80" s="39">
        <f t="shared" si="24"/>
        <v>2</v>
      </c>
      <c r="K80" s="39">
        <f t="shared" si="24"/>
        <v>3</v>
      </c>
      <c r="L80" s="39">
        <f t="shared" si="24"/>
        <v>4</v>
      </c>
      <c r="M80" s="39">
        <f t="shared" si="24"/>
        <v>5</v>
      </c>
      <c r="N80" s="39">
        <f t="shared" si="24"/>
        <v>6</v>
      </c>
      <c r="O80" s="39">
        <f t="shared" si="24"/>
        <v>7</v>
      </c>
      <c r="P80" s="39">
        <f t="shared" si="24"/>
        <v>8</v>
      </c>
      <c r="Q80" s="39">
        <f t="shared" si="24"/>
        <v>9</v>
      </c>
      <c r="R80" s="39">
        <f t="shared" si="24"/>
        <v>10</v>
      </c>
      <c r="S80" s="39">
        <f t="shared" si="24"/>
        <v>11</v>
      </c>
      <c r="T80" s="39">
        <f t="shared" si="24"/>
        <v>12</v>
      </c>
      <c r="U80" s="39">
        <f t="shared" si="24"/>
        <v>13</v>
      </c>
      <c r="V80" s="39">
        <f t="shared" si="24"/>
        <v>14</v>
      </c>
      <c r="W80" s="39">
        <f t="shared" si="24"/>
        <v>15</v>
      </c>
      <c r="X80" s="39">
        <f t="shared" si="24"/>
        <v>16</v>
      </c>
      <c r="Y80" s="39">
        <f t="shared" si="24"/>
        <v>17</v>
      </c>
      <c r="Z80" s="39">
        <f t="shared" si="24"/>
        <v>18</v>
      </c>
      <c r="AA80" s="39">
        <f t="shared" si="24"/>
        <v>19</v>
      </c>
      <c r="AB80" s="39">
        <f t="shared" si="24"/>
        <v>20</v>
      </c>
      <c r="AC80" s="39">
        <f t="shared" si="24"/>
        <v>21</v>
      </c>
      <c r="AD80" s="39">
        <f t="shared" si="24"/>
        <v>22</v>
      </c>
      <c r="AE80" s="39">
        <f t="shared" si="24"/>
        <v>23</v>
      </c>
      <c r="AF80" s="39">
        <f t="shared" si="24"/>
        <v>24</v>
      </c>
      <c r="AG80" s="39">
        <f t="shared" si="24"/>
        <v>25</v>
      </c>
      <c r="AH80" s="39">
        <f t="shared" si="24"/>
        <v>26</v>
      </c>
      <c r="AI80" s="39">
        <f t="shared" si="24"/>
        <v>27</v>
      </c>
      <c r="AJ80" s="39">
        <f t="shared" si="24"/>
        <v>28</v>
      </c>
      <c r="AK80" s="39">
        <f t="shared" si="24"/>
        <v>29</v>
      </c>
      <c r="AL80" s="39">
        <f t="shared" si="24"/>
        <v>30</v>
      </c>
      <c r="AM80" s="39">
        <f t="shared" si="24"/>
        <v>31</v>
      </c>
    </row>
    <row r="81" spans="1:39" hidden="1" outlineLevel="1" x14ac:dyDescent="0.2">
      <c r="A81" s="37"/>
      <c r="B81" s="37"/>
      <c r="C81" s="37"/>
      <c r="D81" s="37"/>
      <c r="E81" s="37"/>
      <c r="F81" s="37"/>
      <c r="G81" s="37"/>
      <c r="H81" s="37"/>
      <c r="I81" s="38" t="str">
        <f t="shared" ref="I81:AM81" si="25">IF(COLUMN()-8&lt;=DAY(EOMONTH($A$79,0)),CHOOSE(WEEKDAY($A$79+COLUMN()-9,2),"L","M","X","J","V","S","D"),"")</f>
        <v>J</v>
      </c>
      <c r="J81" s="38" t="str">
        <f t="shared" si="25"/>
        <v>V</v>
      </c>
      <c r="K81" s="38" t="str">
        <f t="shared" si="25"/>
        <v>S</v>
      </c>
      <c r="L81" s="38" t="str">
        <f t="shared" si="25"/>
        <v>D</v>
      </c>
      <c r="M81" s="38" t="str">
        <f t="shared" si="25"/>
        <v>L</v>
      </c>
      <c r="N81" s="38" t="str">
        <f t="shared" si="25"/>
        <v>M</v>
      </c>
      <c r="O81" s="38" t="str">
        <f t="shared" si="25"/>
        <v>X</v>
      </c>
      <c r="P81" s="38" t="str">
        <f t="shared" si="25"/>
        <v>J</v>
      </c>
      <c r="Q81" s="38" t="str">
        <f t="shared" si="25"/>
        <v>V</v>
      </c>
      <c r="R81" s="38" t="str">
        <f t="shared" si="25"/>
        <v>S</v>
      </c>
      <c r="S81" s="38" t="str">
        <f t="shared" si="25"/>
        <v>D</v>
      </c>
      <c r="T81" s="38" t="str">
        <f t="shared" si="25"/>
        <v>L</v>
      </c>
      <c r="U81" s="38" t="str">
        <f t="shared" si="25"/>
        <v>M</v>
      </c>
      <c r="V81" s="38" t="str">
        <f t="shared" si="25"/>
        <v>X</v>
      </c>
      <c r="W81" s="38" t="str">
        <f t="shared" si="25"/>
        <v>J</v>
      </c>
      <c r="X81" s="38" t="str">
        <f t="shared" si="25"/>
        <v>V</v>
      </c>
      <c r="Y81" s="38" t="str">
        <f t="shared" si="25"/>
        <v>S</v>
      </c>
      <c r="Z81" s="38" t="str">
        <f t="shared" si="25"/>
        <v>D</v>
      </c>
      <c r="AA81" s="38" t="str">
        <f t="shared" si="25"/>
        <v>L</v>
      </c>
      <c r="AB81" s="38" t="str">
        <f t="shared" si="25"/>
        <v>M</v>
      </c>
      <c r="AC81" s="38" t="str">
        <f t="shared" si="25"/>
        <v>X</v>
      </c>
      <c r="AD81" s="38" t="str">
        <f t="shared" si="25"/>
        <v>J</v>
      </c>
      <c r="AE81" s="38" t="str">
        <f t="shared" si="25"/>
        <v>V</v>
      </c>
      <c r="AF81" s="38" t="str">
        <f t="shared" si="25"/>
        <v>S</v>
      </c>
      <c r="AG81" s="38" t="str">
        <f t="shared" si="25"/>
        <v>D</v>
      </c>
      <c r="AH81" s="38" t="str">
        <f t="shared" si="25"/>
        <v>L</v>
      </c>
      <c r="AI81" s="38" t="str">
        <f t="shared" si="25"/>
        <v>M</v>
      </c>
      <c r="AJ81" s="38" t="str">
        <f t="shared" si="25"/>
        <v>X</v>
      </c>
      <c r="AK81" s="38" t="str">
        <f t="shared" si="25"/>
        <v>J</v>
      </c>
      <c r="AL81" s="38" t="str">
        <f t="shared" si="25"/>
        <v>V</v>
      </c>
      <c r="AM81" s="38" t="str">
        <f t="shared" si="25"/>
        <v>S</v>
      </c>
    </row>
    <row r="82" spans="1:39" hidden="1" outlineLevel="1" x14ac:dyDescent="0.2">
      <c r="A82" s="52" t="str">
        <f ca="1">IF(Residentes!A6="","",Residentes!C6)</f>
        <v>R4</v>
      </c>
      <c r="B82" s="43" t="str">
        <f>IF(Residentes!A6="","",Residentes!A6)</f>
        <v>Olatz Lopetegui</v>
      </c>
      <c r="C82" s="44">
        <f t="shared" ref="C82:C96" si="26">COUNTIF($I82:$AM82,"G")</f>
        <v>0</v>
      </c>
      <c r="D82" s="45">
        <f t="shared" ref="D82:D96" si="27">COUNTIF($I82:$AM82,"GF")</f>
        <v>0</v>
      </c>
      <c r="E82" s="45">
        <f t="shared" ref="E82:E96" si="28">COUNTIF($I82:$AM82,"GP")</f>
        <v>0</v>
      </c>
      <c r="F82" s="46">
        <f t="shared" ref="F82:F96" si="29">COUNTIF($I82:$AM82,"3P")</f>
        <v>0</v>
      </c>
      <c r="G82" s="47" cm="1">
        <f t="array" ref="G82">SUMPRODUCT((($I$81:$AM$81="S")+($I$81:$AM$81="D"))*(($I82:$AM82="G")+($I82:$AM82="GF")+($I82:$AM82="GP")))</f>
        <v>0</v>
      </c>
      <c r="H82" s="47" cm="1">
        <f t="array" ref="H82">SUMPRODUCT(($I$81:$AK$81="V")*(($I82:$AK82="G")+($I82:$AK82="GF")+($I82:$AK82="GP"))*(($K82:$AM82="G")+($K82:$AM82="GF")+($K82:$AM82="GP")))</f>
        <v>0</v>
      </c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</row>
    <row r="83" spans="1:39" hidden="1" outlineLevel="1" x14ac:dyDescent="0.2">
      <c r="A83" s="52" t="str">
        <f ca="1">IF(Residentes!A7="","",Residentes!C7)</f>
        <v>R4</v>
      </c>
      <c r="B83" s="43" t="str">
        <f>IF(Residentes!A7="","",Residentes!A7)</f>
        <v>Sarai Moliner</v>
      </c>
      <c r="C83" s="44">
        <f t="shared" si="26"/>
        <v>0</v>
      </c>
      <c r="D83" s="45">
        <f t="shared" si="27"/>
        <v>0</v>
      </c>
      <c r="E83" s="45">
        <f t="shared" si="28"/>
        <v>0</v>
      </c>
      <c r="F83" s="46">
        <f t="shared" si="29"/>
        <v>0</v>
      </c>
      <c r="G83" s="47" cm="1">
        <f t="array" ref="G83">SUMPRODUCT((($I$81:$AM$81="S")+($I$81:$AM$81="D"))*(($I83:$AM83="G")+($I83:$AM83="GF")+($I83:$AM83="GP")))</f>
        <v>0</v>
      </c>
      <c r="H83" s="47" cm="1">
        <f t="array" ref="H83">SUMPRODUCT(($I$81:$AK$81="V")*(($I83:$AK83="G")+($I83:$AK83="GF")+($I83:$AK83="GP"))*(($K83:$AM83="G")+($K83:$AM83="GF")+($K83:$AM83="GP")))</f>
        <v>0</v>
      </c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</row>
    <row r="84" spans="1:39" hidden="1" outlineLevel="1" x14ac:dyDescent="0.2">
      <c r="A84" s="52" t="str">
        <f ca="1">IF(Residentes!A8="","",Residentes!C8)</f>
        <v>R4</v>
      </c>
      <c r="B84" s="43" t="str">
        <f>IF(Residentes!A8="","",Residentes!A8)</f>
        <v>Rocío Cutillas</v>
      </c>
      <c r="C84" s="44">
        <f t="shared" si="26"/>
        <v>0</v>
      </c>
      <c r="D84" s="45">
        <f t="shared" si="27"/>
        <v>0</v>
      </c>
      <c r="E84" s="45">
        <f t="shared" si="28"/>
        <v>0</v>
      </c>
      <c r="F84" s="46">
        <f t="shared" si="29"/>
        <v>0</v>
      </c>
      <c r="G84" s="47" cm="1">
        <f t="array" ref="G84">SUMPRODUCT((($I$81:$AM$81="S")+($I$81:$AM$81="D"))*(($I84:$AM84="G")+($I84:$AM84="GF")+($I84:$AM84="GP")))</f>
        <v>0</v>
      </c>
      <c r="H84" s="47" cm="1">
        <f t="array" ref="H84">SUMPRODUCT(($I$81:$AK$81="V")*(($I84:$AK84="G")+($I84:$AK84="GF")+($I84:$AK84="GP"))*(($K84:$AM84="G")+($K84:$AM84="GF")+($K84:$AM84="GP")))</f>
        <v>0</v>
      </c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</row>
    <row r="85" spans="1:39" hidden="1" outlineLevel="1" x14ac:dyDescent="0.2">
      <c r="A85" s="52" t="str">
        <f ca="1">IF(Residentes!A9="","",Residentes!C9)</f>
        <v>R3</v>
      </c>
      <c r="B85" s="43" t="str">
        <f>IF(Residentes!A9="","",Residentes!A9)</f>
        <v>Emi Tumbarello</v>
      </c>
      <c r="C85" s="44">
        <f t="shared" si="26"/>
        <v>0</v>
      </c>
      <c r="D85" s="45">
        <f t="shared" si="27"/>
        <v>0</v>
      </c>
      <c r="E85" s="45">
        <f t="shared" si="28"/>
        <v>0</v>
      </c>
      <c r="F85" s="46">
        <f t="shared" si="29"/>
        <v>0</v>
      </c>
      <c r="G85" s="47" cm="1">
        <f t="array" ref="G85">SUMPRODUCT((($I$81:$AM$81="S")+($I$81:$AM$81="D"))*(($I85:$AM85="G")+($I85:$AM85="GF")+($I85:$AM85="GP")))</f>
        <v>0</v>
      </c>
      <c r="H85" s="47" cm="1">
        <f t="array" ref="H85">SUMPRODUCT(($I$81:$AK$81="V")*(($I85:$AK85="G")+($I85:$AK85="GF")+($I85:$AK85="GP"))*(($K85:$AM85="G")+($K85:$AM85="GF")+($K85:$AM85="GP")))</f>
        <v>0</v>
      </c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</row>
    <row r="86" spans="1:39" hidden="1" outlineLevel="1" x14ac:dyDescent="0.2">
      <c r="A86" s="52" t="str">
        <f ca="1">IF(Residentes!A10="","",Residentes!C10)</f>
        <v>R3</v>
      </c>
      <c r="B86" s="43" t="str">
        <f>IF(Residentes!A10="","",Residentes!A10)</f>
        <v>Teresa Mateo</v>
      </c>
      <c r="C86" s="44">
        <f t="shared" si="26"/>
        <v>0</v>
      </c>
      <c r="D86" s="45">
        <f t="shared" si="27"/>
        <v>0</v>
      </c>
      <c r="E86" s="45">
        <f t="shared" si="28"/>
        <v>0</v>
      </c>
      <c r="F86" s="46">
        <f t="shared" si="29"/>
        <v>0</v>
      </c>
      <c r="G86" s="47" cm="1">
        <f t="array" ref="G86">SUMPRODUCT((($I$81:$AM$81="S")+($I$81:$AM$81="D"))*(($I86:$AM86="G")+($I86:$AM86="GF")+($I86:$AM86="GP")))</f>
        <v>0</v>
      </c>
      <c r="H86" s="47" cm="1">
        <f t="array" ref="H86">SUMPRODUCT(($I$81:$AK$81="V")*(($I86:$AK86="G")+($I86:$AK86="GF")+($I86:$AK86="GP"))*(($K86:$AM86="G")+($K86:$AM86="GF")+($K86:$AM86="GP")))</f>
        <v>0</v>
      </c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</row>
    <row r="87" spans="1:39" hidden="1" outlineLevel="1" x14ac:dyDescent="0.2">
      <c r="A87" s="52" t="str">
        <f ca="1">IF(Residentes!A11="","",Residentes!C11)</f>
        <v>R3</v>
      </c>
      <c r="B87" s="43" t="str">
        <f>IF(Residentes!A11="","",Residentes!A11)</f>
        <v>Elena Sansano</v>
      </c>
      <c r="C87" s="44">
        <f t="shared" si="26"/>
        <v>0</v>
      </c>
      <c r="D87" s="45">
        <f t="shared" si="27"/>
        <v>0</v>
      </c>
      <c r="E87" s="45">
        <f t="shared" si="28"/>
        <v>0</v>
      </c>
      <c r="F87" s="46">
        <f t="shared" si="29"/>
        <v>0</v>
      </c>
      <c r="G87" s="47" cm="1">
        <f t="array" ref="G87">SUMPRODUCT((($I$81:$AM$81="S")+($I$81:$AM$81="D"))*(($I87:$AM87="G")+($I87:$AM87="GF")+($I87:$AM87="GP")))</f>
        <v>0</v>
      </c>
      <c r="H87" s="47" cm="1">
        <f t="array" ref="H87">SUMPRODUCT(($I$81:$AK$81="V")*(($I87:$AK87="G")+($I87:$AK87="GF")+($I87:$AK87="GP"))*(($K87:$AM87="G")+($K87:$AM87="GF")+($K87:$AM87="GP")))</f>
        <v>0</v>
      </c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</row>
    <row r="88" spans="1:39" hidden="1" outlineLevel="1" x14ac:dyDescent="0.2">
      <c r="A88" s="52" t="str">
        <f ca="1">IF(Residentes!A12="","",Residentes!C12)</f>
        <v>R3</v>
      </c>
      <c r="B88" s="43" t="str">
        <f>IF(Residentes!A12="","",Residentes!A12)</f>
        <v>Enrique Montiel</v>
      </c>
      <c r="C88" s="44">
        <f t="shared" si="26"/>
        <v>0</v>
      </c>
      <c r="D88" s="45">
        <f t="shared" si="27"/>
        <v>0</v>
      </c>
      <c r="E88" s="45">
        <f t="shared" si="28"/>
        <v>0</v>
      </c>
      <c r="F88" s="46">
        <f t="shared" si="29"/>
        <v>0</v>
      </c>
      <c r="G88" s="47" cm="1">
        <f t="array" ref="G88">SUMPRODUCT((($I$81:$AM$81="S")+($I$81:$AM$81="D"))*(($I88:$AM88="G")+($I88:$AM88="GF")+($I88:$AM88="GP")))</f>
        <v>0</v>
      </c>
      <c r="H88" s="47" cm="1">
        <f t="array" ref="H88">SUMPRODUCT(($I$81:$AK$81="V")*(($I88:$AK88="G")+($I88:$AK88="GF")+($I88:$AK88="GP"))*(($K88:$AM88="G")+($K88:$AM88="GF")+($K88:$AM88="GP")))</f>
        <v>0</v>
      </c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</row>
    <row r="89" spans="1:39" hidden="1" outlineLevel="1" x14ac:dyDescent="0.2">
      <c r="A89" s="52" t="str">
        <f ca="1">IF(Residentes!A13="","",Residentes!C13)</f>
        <v>R2</v>
      </c>
      <c r="B89" s="43" t="str">
        <f>IF(Residentes!A13="","",Residentes!A13)</f>
        <v>Fran Zomosa</v>
      </c>
      <c r="C89" s="44">
        <f t="shared" si="26"/>
        <v>0</v>
      </c>
      <c r="D89" s="45">
        <f t="shared" si="27"/>
        <v>0</v>
      </c>
      <c r="E89" s="45">
        <f t="shared" si="28"/>
        <v>0</v>
      </c>
      <c r="F89" s="46">
        <f t="shared" si="29"/>
        <v>0</v>
      </c>
      <c r="G89" s="47" cm="1">
        <f t="array" ref="G89">SUMPRODUCT((($I$81:$AM$81="S")+($I$81:$AM$81="D"))*(($I89:$AM89="G")+($I89:$AM89="GF")+($I89:$AM89="GP")))</f>
        <v>0</v>
      </c>
      <c r="H89" s="47" cm="1">
        <f t="array" ref="H89">SUMPRODUCT(($I$81:$AK$81="V")*(($I89:$AK89="G")+($I89:$AK89="GF")+($I89:$AK89="GP"))*(($K89:$AM89="G")+($K89:$AM89="GF")+($K89:$AM89="GP")))</f>
        <v>0</v>
      </c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</row>
    <row r="90" spans="1:39" hidden="1" outlineLevel="1" x14ac:dyDescent="0.2">
      <c r="A90" s="52" t="str">
        <f ca="1">IF(Residentes!A14="","",Residentes!C14)</f>
        <v>R2</v>
      </c>
      <c r="B90" s="43" t="str">
        <f>IF(Residentes!A14="","",Residentes!A14)</f>
        <v>Agus Lagioiosa</v>
      </c>
      <c r="C90" s="44">
        <f t="shared" si="26"/>
        <v>0</v>
      </c>
      <c r="D90" s="45">
        <f t="shared" si="27"/>
        <v>0</v>
      </c>
      <c r="E90" s="45">
        <f t="shared" si="28"/>
        <v>0</v>
      </c>
      <c r="F90" s="46">
        <f t="shared" si="29"/>
        <v>0</v>
      </c>
      <c r="G90" s="47" cm="1">
        <f t="array" ref="G90">SUMPRODUCT((($I$81:$AM$81="S")+($I$81:$AM$81="D"))*(($I90:$AM90="G")+($I90:$AM90="GF")+($I90:$AM90="GP")))</f>
        <v>0</v>
      </c>
      <c r="H90" s="47" cm="1">
        <f t="array" ref="H90">SUMPRODUCT(($I$81:$AK$81="V")*(($I90:$AK90="G")+($I90:$AK90="GF")+($I90:$AK90="GP"))*(($K90:$AM90="G")+($K90:$AM90="GF")+($K90:$AM90="GP")))</f>
        <v>0</v>
      </c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</row>
    <row r="91" spans="1:39" hidden="1" outlineLevel="1" x14ac:dyDescent="0.2">
      <c r="A91" s="52" t="str">
        <f ca="1">IF(Residentes!A15="","",Residentes!C15)</f>
        <v>R2</v>
      </c>
      <c r="B91" s="43" t="str">
        <f>IF(Residentes!A15="","",Residentes!A15)</f>
        <v>Elena Bonastre</v>
      </c>
      <c r="C91" s="44">
        <f t="shared" si="26"/>
        <v>0</v>
      </c>
      <c r="D91" s="45">
        <f t="shared" si="27"/>
        <v>0</v>
      </c>
      <c r="E91" s="45">
        <f t="shared" si="28"/>
        <v>0</v>
      </c>
      <c r="F91" s="46">
        <f t="shared" si="29"/>
        <v>0</v>
      </c>
      <c r="G91" s="47" cm="1">
        <f t="array" ref="G91">SUMPRODUCT((($I$81:$AM$81="S")+($I$81:$AM$81="D"))*(($I91:$AM91="G")+($I91:$AM91="GF")+($I91:$AM91="GP")))</f>
        <v>0</v>
      </c>
      <c r="H91" s="47" cm="1">
        <f t="array" ref="H91">SUMPRODUCT(($I$81:$AK$81="V")*(($I91:$AK91="G")+($I91:$AK91="GF")+($I91:$AK91="GP"))*(($K91:$AM91="G")+($K91:$AM91="GF")+($K91:$AM91="GP")))</f>
        <v>0</v>
      </c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</row>
    <row r="92" spans="1:39" hidden="1" outlineLevel="1" x14ac:dyDescent="0.2">
      <c r="A92" s="52" t="str">
        <f ca="1">IF(Residentes!A16="","",Residentes!C16)</f>
        <v>R2</v>
      </c>
      <c r="B92" s="43" t="str">
        <f>IF(Residentes!A16="","",Residentes!A16)</f>
        <v>María Armengol</v>
      </c>
      <c r="C92" s="44">
        <f t="shared" si="26"/>
        <v>0</v>
      </c>
      <c r="D92" s="45">
        <f t="shared" si="27"/>
        <v>0</v>
      </c>
      <c r="E92" s="45">
        <f t="shared" si="28"/>
        <v>0</v>
      </c>
      <c r="F92" s="46">
        <f t="shared" si="29"/>
        <v>0</v>
      </c>
      <c r="G92" s="47" cm="1">
        <f t="array" ref="G92">SUMPRODUCT((($I$81:$AM$81="S")+($I$81:$AM$81="D"))*(($I92:$AM92="G")+($I92:$AM92="GF")+($I92:$AM92="GP")))</f>
        <v>0</v>
      </c>
      <c r="H92" s="47" cm="1">
        <f t="array" ref="H92">SUMPRODUCT(($I$81:$AK$81="V")*(($I92:$AK92="G")+($I92:$AK92="GF")+($I92:$AK92="GP"))*(($K92:$AM92="G")+($K92:$AM92="GF")+($K92:$AM92="GP")))</f>
        <v>0</v>
      </c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</row>
    <row r="93" spans="1:39" hidden="1" outlineLevel="1" x14ac:dyDescent="0.2">
      <c r="A93" s="52" t="str">
        <f ca="1">IF(Residentes!A17="","",Residentes!C17)</f>
        <v>R1</v>
      </c>
      <c r="B93" s="43" t="str">
        <f>IF(Residentes!A17="","",Residentes!A17)</f>
        <v>Jaime Normand</v>
      </c>
      <c r="C93" s="44">
        <f t="shared" si="26"/>
        <v>0</v>
      </c>
      <c r="D93" s="45">
        <f t="shared" si="27"/>
        <v>0</v>
      </c>
      <c r="E93" s="45">
        <f t="shared" si="28"/>
        <v>0</v>
      </c>
      <c r="F93" s="46">
        <f t="shared" si="29"/>
        <v>0</v>
      </c>
      <c r="G93" s="47" cm="1">
        <f t="array" ref="G93">SUMPRODUCT((($I$81:$AM$81="S")+($I$81:$AM$81="D"))*(($I93:$AM93="G")+($I93:$AM93="GF")+($I93:$AM93="GP")))</f>
        <v>0</v>
      </c>
      <c r="H93" s="47" cm="1">
        <f t="array" ref="H93">SUMPRODUCT(($I$81:$AK$81="V")*(($I93:$AK93="G")+($I93:$AK93="GF")+($I93:$AK93="GP"))*(($K93:$AM93="G")+($K93:$AM93="GF")+($K93:$AM93="GP")))</f>
        <v>0</v>
      </c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</row>
    <row r="94" spans="1:39" hidden="1" outlineLevel="1" x14ac:dyDescent="0.2">
      <c r="A94" s="52" t="str">
        <f ca="1">IF(Residentes!A18="","",Residentes!C18)</f>
        <v>R1</v>
      </c>
      <c r="B94" s="43" t="str">
        <f>IF(Residentes!A18="","",Residentes!A18)</f>
        <v>Stephanie Aparicio</v>
      </c>
      <c r="C94" s="44">
        <f t="shared" si="26"/>
        <v>0</v>
      </c>
      <c r="D94" s="45">
        <f t="shared" si="27"/>
        <v>0</v>
      </c>
      <c r="E94" s="45">
        <f t="shared" si="28"/>
        <v>0</v>
      </c>
      <c r="F94" s="46">
        <f t="shared" si="29"/>
        <v>0</v>
      </c>
      <c r="G94" s="47" cm="1">
        <f t="array" ref="G94">SUMPRODUCT((($I$81:$AM$81="S")+($I$81:$AM$81="D"))*(($I94:$AM94="G")+($I94:$AM94="GF")+($I94:$AM94="GP")))</f>
        <v>0</v>
      </c>
      <c r="H94" s="47" cm="1">
        <f t="array" ref="H94">SUMPRODUCT(($I$81:$AK$81="V")*(($I94:$AK94="G")+($I94:$AK94="GF")+($I94:$AK94="GP"))*(($K94:$AM94="G")+($K94:$AM94="GF")+($K94:$AM94="GP")))</f>
        <v>0</v>
      </c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</row>
    <row r="95" spans="1:39" hidden="1" outlineLevel="1" x14ac:dyDescent="0.2">
      <c r="A95" s="52" t="str">
        <f ca="1">IF(Residentes!A19="","",Residentes!C19)</f>
        <v>R1</v>
      </c>
      <c r="B95" s="43" t="str">
        <f>IF(Residentes!A19="","",Residentes!A19)</f>
        <v>Marta Martínez</v>
      </c>
      <c r="C95" s="44">
        <f t="shared" si="26"/>
        <v>0</v>
      </c>
      <c r="D95" s="45">
        <f t="shared" si="27"/>
        <v>0</v>
      </c>
      <c r="E95" s="45">
        <f t="shared" si="28"/>
        <v>0</v>
      </c>
      <c r="F95" s="46">
        <f t="shared" si="29"/>
        <v>0</v>
      </c>
      <c r="G95" s="47" cm="1">
        <f t="array" ref="G95">SUMPRODUCT((($I$81:$AM$81="S")+($I$81:$AM$81="D"))*(($I95:$AM95="G")+($I95:$AM95="GF")+($I95:$AM95="GP")))</f>
        <v>0</v>
      </c>
      <c r="H95" s="47" cm="1">
        <f t="array" ref="H95">SUMPRODUCT(($I$81:$AK$81="V")*(($I95:$AK95="G")+($I95:$AK95="GF")+($I95:$AK95="GP"))*(($K95:$AM95="G")+($K95:$AM95="GF")+($K95:$AM95="GP")))</f>
        <v>0</v>
      </c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</row>
    <row r="96" spans="1:39" hidden="1" outlineLevel="1" x14ac:dyDescent="0.2">
      <c r="A96" s="52" t="str">
        <f ca="1">IF(Residentes!A20="","",Residentes!C20)</f>
        <v>R1</v>
      </c>
      <c r="B96" s="43" t="str">
        <f>IF(Residentes!A20="","",Residentes!A20)</f>
        <v>Manuel Cortés</v>
      </c>
      <c r="C96" s="44">
        <f t="shared" si="26"/>
        <v>0</v>
      </c>
      <c r="D96" s="45">
        <f t="shared" si="27"/>
        <v>0</v>
      </c>
      <c r="E96" s="45">
        <f t="shared" si="28"/>
        <v>0</v>
      </c>
      <c r="F96" s="46">
        <f t="shared" si="29"/>
        <v>0</v>
      </c>
      <c r="G96" s="47" cm="1">
        <f t="array" ref="G96">SUMPRODUCT((($I$81:$AM$81="S")+($I$81:$AM$81="D"))*(($I96:$AM96="G")+($I96:$AM96="GF")+($I96:$AM96="GP")))</f>
        <v>0</v>
      </c>
      <c r="H96" s="47" cm="1">
        <f t="array" ref="H96">SUMPRODUCT(($I$81:$AK$81="V")*(($I96:$AK96="G")+($I96:$AK96="GF")+($I96:$AK96="GP"))*(($K96:$AM96="G")+($K96:$AM96="GF")+($K96:$AM96="GP")))</f>
        <v>0</v>
      </c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</row>
    <row r="97" spans="1:39" collapsed="1" x14ac:dyDescent="0.2"/>
    <row r="98" spans="1:39" ht="20" customHeight="1" x14ac:dyDescent="0.2">
      <c r="A98" s="61">
        <v>46327</v>
      </c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</row>
    <row r="99" spans="1:39" ht="24" hidden="1" customHeight="1" outlineLevel="1" x14ac:dyDescent="0.2">
      <c r="A99" s="25" t="s">
        <v>9</v>
      </c>
      <c r="B99" s="25" t="s">
        <v>10</v>
      </c>
      <c r="C99" s="25" t="s">
        <v>11</v>
      </c>
      <c r="D99" s="25" t="s">
        <v>12</v>
      </c>
      <c r="E99" s="25" t="s">
        <v>109</v>
      </c>
      <c r="F99" s="25" t="s">
        <v>13</v>
      </c>
      <c r="G99" s="25" t="s">
        <v>14</v>
      </c>
      <c r="H99" s="25" t="s">
        <v>15</v>
      </c>
      <c r="I99" s="39">
        <f t="shared" ref="I99:AM99" si="30">IF(COLUMN()-8&lt;=DAY(EOMONTH($A$98,0)),COLUMN()-8,"")</f>
        <v>1</v>
      </c>
      <c r="J99" s="39">
        <f t="shared" si="30"/>
        <v>2</v>
      </c>
      <c r="K99" s="39">
        <f t="shared" si="30"/>
        <v>3</v>
      </c>
      <c r="L99" s="39">
        <f t="shared" si="30"/>
        <v>4</v>
      </c>
      <c r="M99" s="39">
        <f t="shared" si="30"/>
        <v>5</v>
      </c>
      <c r="N99" s="39">
        <f t="shared" si="30"/>
        <v>6</v>
      </c>
      <c r="O99" s="39">
        <f t="shared" si="30"/>
        <v>7</v>
      </c>
      <c r="P99" s="39">
        <f t="shared" si="30"/>
        <v>8</v>
      </c>
      <c r="Q99" s="39">
        <f t="shared" si="30"/>
        <v>9</v>
      </c>
      <c r="R99" s="39">
        <f t="shared" si="30"/>
        <v>10</v>
      </c>
      <c r="S99" s="39">
        <f t="shared" si="30"/>
        <v>11</v>
      </c>
      <c r="T99" s="39">
        <f t="shared" si="30"/>
        <v>12</v>
      </c>
      <c r="U99" s="39">
        <f t="shared" si="30"/>
        <v>13</v>
      </c>
      <c r="V99" s="39">
        <f t="shared" si="30"/>
        <v>14</v>
      </c>
      <c r="W99" s="39">
        <f t="shared" si="30"/>
        <v>15</v>
      </c>
      <c r="X99" s="39">
        <f t="shared" si="30"/>
        <v>16</v>
      </c>
      <c r="Y99" s="39">
        <f t="shared" si="30"/>
        <v>17</v>
      </c>
      <c r="Z99" s="39">
        <f t="shared" si="30"/>
        <v>18</v>
      </c>
      <c r="AA99" s="39">
        <f t="shared" si="30"/>
        <v>19</v>
      </c>
      <c r="AB99" s="39">
        <f t="shared" si="30"/>
        <v>20</v>
      </c>
      <c r="AC99" s="39">
        <f t="shared" si="30"/>
        <v>21</v>
      </c>
      <c r="AD99" s="39">
        <f t="shared" si="30"/>
        <v>22</v>
      </c>
      <c r="AE99" s="39">
        <f t="shared" si="30"/>
        <v>23</v>
      </c>
      <c r="AF99" s="39">
        <f t="shared" si="30"/>
        <v>24</v>
      </c>
      <c r="AG99" s="39">
        <f t="shared" si="30"/>
        <v>25</v>
      </c>
      <c r="AH99" s="39">
        <f t="shared" si="30"/>
        <v>26</v>
      </c>
      <c r="AI99" s="39">
        <f t="shared" si="30"/>
        <v>27</v>
      </c>
      <c r="AJ99" s="39">
        <f t="shared" si="30"/>
        <v>28</v>
      </c>
      <c r="AK99" s="39">
        <f t="shared" si="30"/>
        <v>29</v>
      </c>
      <c r="AL99" s="39">
        <f t="shared" si="30"/>
        <v>30</v>
      </c>
      <c r="AM99" s="39" t="str">
        <f t="shared" si="30"/>
        <v/>
      </c>
    </row>
    <row r="100" spans="1:39" hidden="1" outlineLevel="1" x14ac:dyDescent="0.2">
      <c r="A100" s="37"/>
      <c r="B100" s="37"/>
      <c r="C100" s="37"/>
      <c r="D100" s="37"/>
      <c r="E100" s="37"/>
      <c r="F100" s="37"/>
      <c r="G100" s="37"/>
      <c r="H100" s="37"/>
      <c r="I100" s="38" t="str">
        <f t="shared" ref="I100:AM100" si="31">IF(COLUMN()-8&lt;=DAY(EOMONTH($A$98,0)),CHOOSE(WEEKDAY($A$98+COLUMN()-9,2),"L","M","X","J","V","S","D"),"")</f>
        <v>D</v>
      </c>
      <c r="J100" s="38" t="str">
        <f t="shared" si="31"/>
        <v>L</v>
      </c>
      <c r="K100" s="38" t="str">
        <f t="shared" si="31"/>
        <v>M</v>
      </c>
      <c r="L100" s="38" t="str">
        <f t="shared" si="31"/>
        <v>X</v>
      </c>
      <c r="M100" s="38" t="str">
        <f t="shared" si="31"/>
        <v>J</v>
      </c>
      <c r="N100" s="38" t="str">
        <f t="shared" si="31"/>
        <v>V</v>
      </c>
      <c r="O100" s="38" t="str">
        <f t="shared" si="31"/>
        <v>S</v>
      </c>
      <c r="P100" s="38" t="str">
        <f t="shared" si="31"/>
        <v>D</v>
      </c>
      <c r="Q100" s="38" t="str">
        <f t="shared" si="31"/>
        <v>L</v>
      </c>
      <c r="R100" s="38" t="str">
        <f t="shared" si="31"/>
        <v>M</v>
      </c>
      <c r="S100" s="38" t="str">
        <f t="shared" si="31"/>
        <v>X</v>
      </c>
      <c r="T100" s="38" t="str">
        <f t="shared" si="31"/>
        <v>J</v>
      </c>
      <c r="U100" s="38" t="str">
        <f t="shared" si="31"/>
        <v>V</v>
      </c>
      <c r="V100" s="38" t="str">
        <f t="shared" si="31"/>
        <v>S</v>
      </c>
      <c r="W100" s="38" t="str">
        <f t="shared" si="31"/>
        <v>D</v>
      </c>
      <c r="X100" s="38" t="str">
        <f t="shared" si="31"/>
        <v>L</v>
      </c>
      <c r="Y100" s="38" t="str">
        <f t="shared" si="31"/>
        <v>M</v>
      </c>
      <c r="Z100" s="38" t="str">
        <f t="shared" si="31"/>
        <v>X</v>
      </c>
      <c r="AA100" s="38" t="str">
        <f t="shared" si="31"/>
        <v>J</v>
      </c>
      <c r="AB100" s="38" t="str">
        <f t="shared" si="31"/>
        <v>V</v>
      </c>
      <c r="AC100" s="38" t="str">
        <f t="shared" si="31"/>
        <v>S</v>
      </c>
      <c r="AD100" s="38" t="str">
        <f t="shared" si="31"/>
        <v>D</v>
      </c>
      <c r="AE100" s="38" t="str">
        <f t="shared" si="31"/>
        <v>L</v>
      </c>
      <c r="AF100" s="38" t="str">
        <f t="shared" si="31"/>
        <v>M</v>
      </c>
      <c r="AG100" s="38" t="str">
        <f t="shared" si="31"/>
        <v>X</v>
      </c>
      <c r="AH100" s="38" t="str">
        <f t="shared" si="31"/>
        <v>J</v>
      </c>
      <c r="AI100" s="38" t="str">
        <f t="shared" si="31"/>
        <v>V</v>
      </c>
      <c r="AJ100" s="38" t="str">
        <f t="shared" si="31"/>
        <v>S</v>
      </c>
      <c r="AK100" s="38" t="str">
        <f t="shared" si="31"/>
        <v>D</v>
      </c>
      <c r="AL100" s="38" t="str">
        <f t="shared" si="31"/>
        <v>L</v>
      </c>
      <c r="AM100" s="38" t="str">
        <f t="shared" si="31"/>
        <v/>
      </c>
    </row>
    <row r="101" spans="1:39" hidden="1" outlineLevel="1" x14ac:dyDescent="0.2">
      <c r="A101" s="52" t="str">
        <f ca="1">IF(Residentes!A6="","",Residentes!C6)</f>
        <v>R4</v>
      </c>
      <c r="B101" s="43" t="str">
        <f>IF(Residentes!A6="","",Residentes!A6)</f>
        <v>Olatz Lopetegui</v>
      </c>
      <c r="C101" s="44">
        <f t="shared" ref="C101:C115" si="32">COUNTIF($I101:$AM101,"G")</f>
        <v>0</v>
      </c>
      <c r="D101" s="45">
        <f t="shared" ref="D101:D115" si="33">COUNTIF($I101:$AM101,"GF")</f>
        <v>0</v>
      </c>
      <c r="E101" s="45">
        <f t="shared" ref="E101:E115" si="34">COUNTIF($I101:$AM101,"GP")</f>
        <v>0</v>
      </c>
      <c r="F101" s="46">
        <f t="shared" ref="F101:F115" si="35">COUNTIF($I101:$AM101,"3P")</f>
        <v>0</v>
      </c>
      <c r="G101" s="47" cm="1">
        <f t="array" ref="G101">SUMPRODUCT((($I$100:$AM$100="S")+($I$100:$AM$100="D"))*(($I101:$AM101="G")+($I101:$AM101="GF")+($I101:$AM101="GP")))</f>
        <v>0</v>
      </c>
      <c r="H101" s="47" cm="1">
        <f t="array" ref="H101">SUMPRODUCT(($I$100:$AK$100="V")*(($I101:$AK101="G")+($I101:$AK101="GF")+($I101:$AK101="GP"))*(($K101:$AM101="G")+($K101:$AM101="GF")+($K101:$AM101="GP")))</f>
        <v>0</v>
      </c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</row>
    <row r="102" spans="1:39" hidden="1" outlineLevel="1" x14ac:dyDescent="0.2">
      <c r="A102" s="52" t="str">
        <f ca="1">IF(Residentes!A7="","",Residentes!C7)</f>
        <v>R4</v>
      </c>
      <c r="B102" s="43" t="str">
        <f>IF(Residentes!A7="","",Residentes!A7)</f>
        <v>Sarai Moliner</v>
      </c>
      <c r="C102" s="44">
        <f t="shared" si="32"/>
        <v>0</v>
      </c>
      <c r="D102" s="45">
        <f t="shared" si="33"/>
        <v>0</v>
      </c>
      <c r="E102" s="45">
        <f t="shared" si="34"/>
        <v>0</v>
      </c>
      <c r="F102" s="46">
        <f t="shared" si="35"/>
        <v>0</v>
      </c>
      <c r="G102" s="47" cm="1">
        <f t="array" ref="G102">SUMPRODUCT((($I$100:$AM$100="S")+($I$100:$AM$100="D"))*(($I102:$AM102="G")+($I102:$AM102="GF")+($I102:$AM102="GP")))</f>
        <v>0</v>
      </c>
      <c r="H102" s="47" cm="1">
        <f t="array" ref="H102">SUMPRODUCT(($I$100:$AK$100="V")*(($I102:$AK102="G")+($I102:$AK102="GF")+($I102:$AK102="GP"))*(($K102:$AM102="G")+($K102:$AM102="GF")+($K102:$AM102="GP")))</f>
        <v>0</v>
      </c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</row>
    <row r="103" spans="1:39" hidden="1" outlineLevel="1" x14ac:dyDescent="0.2">
      <c r="A103" s="52" t="str">
        <f ca="1">IF(Residentes!A8="","",Residentes!C8)</f>
        <v>R4</v>
      </c>
      <c r="B103" s="43" t="str">
        <f>IF(Residentes!A8="","",Residentes!A8)</f>
        <v>Rocío Cutillas</v>
      </c>
      <c r="C103" s="44">
        <f t="shared" si="32"/>
        <v>0</v>
      </c>
      <c r="D103" s="45">
        <f t="shared" si="33"/>
        <v>0</v>
      </c>
      <c r="E103" s="45">
        <f t="shared" si="34"/>
        <v>0</v>
      </c>
      <c r="F103" s="46">
        <f t="shared" si="35"/>
        <v>0</v>
      </c>
      <c r="G103" s="47" cm="1">
        <f t="array" ref="G103">SUMPRODUCT((($I$100:$AM$100="S")+($I$100:$AM$100="D"))*(($I103:$AM103="G")+($I103:$AM103="GF")+($I103:$AM103="GP")))</f>
        <v>0</v>
      </c>
      <c r="H103" s="47" cm="1">
        <f t="array" ref="H103">SUMPRODUCT(($I$100:$AK$100="V")*(($I103:$AK103="G")+($I103:$AK103="GF")+($I103:$AK103="GP"))*(($K103:$AM103="G")+($K103:$AM103="GF")+($K103:$AM103="GP")))</f>
        <v>0</v>
      </c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</row>
    <row r="104" spans="1:39" hidden="1" outlineLevel="1" x14ac:dyDescent="0.2">
      <c r="A104" s="52" t="str">
        <f ca="1">IF(Residentes!A9="","",Residentes!C9)</f>
        <v>R3</v>
      </c>
      <c r="B104" s="43" t="str">
        <f>IF(Residentes!A9="","",Residentes!A9)</f>
        <v>Emi Tumbarello</v>
      </c>
      <c r="C104" s="44">
        <f t="shared" si="32"/>
        <v>0</v>
      </c>
      <c r="D104" s="45">
        <f t="shared" si="33"/>
        <v>0</v>
      </c>
      <c r="E104" s="45">
        <f t="shared" si="34"/>
        <v>0</v>
      </c>
      <c r="F104" s="46">
        <f t="shared" si="35"/>
        <v>0</v>
      </c>
      <c r="G104" s="47" cm="1">
        <f t="array" ref="G104">SUMPRODUCT((($I$100:$AM$100="S")+($I$100:$AM$100="D"))*(($I104:$AM104="G")+($I104:$AM104="GF")+($I104:$AM104="GP")))</f>
        <v>0</v>
      </c>
      <c r="H104" s="47" cm="1">
        <f t="array" ref="H104">SUMPRODUCT(($I$100:$AK$100="V")*(($I104:$AK104="G")+($I104:$AK104="GF")+($I104:$AK104="GP"))*(($K104:$AM104="G")+($K104:$AM104="GF")+($K104:$AM104="GP")))</f>
        <v>0</v>
      </c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</row>
    <row r="105" spans="1:39" hidden="1" outlineLevel="1" x14ac:dyDescent="0.2">
      <c r="A105" s="52" t="str">
        <f ca="1">IF(Residentes!A10="","",Residentes!C10)</f>
        <v>R3</v>
      </c>
      <c r="B105" s="43" t="str">
        <f>IF(Residentes!A10="","",Residentes!A10)</f>
        <v>Teresa Mateo</v>
      </c>
      <c r="C105" s="44">
        <f t="shared" si="32"/>
        <v>0</v>
      </c>
      <c r="D105" s="45">
        <f t="shared" si="33"/>
        <v>0</v>
      </c>
      <c r="E105" s="45">
        <f t="shared" si="34"/>
        <v>0</v>
      </c>
      <c r="F105" s="46">
        <f t="shared" si="35"/>
        <v>0</v>
      </c>
      <c r="G105" s="47" cm="1">
        <f t="array" ref="G105">SUMPRODUCT((($I$100:$AM$100="S")+($I$100:$AM$100="D"))*(($I105:$AM105="G")+($I105:$AM105="GF")+($I105:$AM105="GP")))</f>
        <v>0</v>
      </c>
      <c r="H105" s="47" cm="1">
        <f t="array" ref="H105">SUMPRODUCT(($I$100:$AK$100="V")*(($I105:$AK105="G")+($I105:$AK105="GF")+($I105:$AK105="GP"))*(($K105:$AM105="G")+($K105:$AM105="GF")+($K105:$AM105="GP")))</f>
        <v>0</v>
      </c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</row>
    <row r="106" spans="1:39" hidden="1" outlineLevel="1" x14ac:dyDescent="0.2">
      <c r="A106" s="52" t="str">
        <f ca="1">IF(Residentes!A11="","",Residentes!C11)</f>
        <v>R3</v>
      </c>
      <c r="B106" s="43" t="str">
        <f>IF(Residentes!A11="","",Residentes!A11)</f>
        <v>Elena Sansano</v>
      </c>
      <c r="C106" s="44">
        <f t="shared" si="32"/>
        <v>0</v>
      </c>
      <c r="D106" s="45">
        <f t="shared" si="33"/>
        <v>0</v>
      </c>
      <c r="E106" s="45">
        <f t="shared" si="34"/>
        <v>0</v>
      </c>
      <c r="F106" s="46">
        <f t="shared" si="35"/>
        <v>0</v>
      </c>
      <c r="G106" s="47" cm="1">
        <f t="array" ref="G106">SUMPRODUCT((($I$100:$AM$100="S")+($I$100:$AM$100="D"))*(($I106:$AM106="G")+($I106:$AM106="GF")+($I106:$AM106="GP")))</f>
        <v>0</v>
      </c>
      <c r="H106" s="47" cm="1">
        <f t="array" ref="H106">SUMPRODUCT(($I$100:$AK$100="V")*(($I106:$AK106="G")+($I106:$AK106="GF")+($I106:$AK106="GP"))*(($K106:$AM106="G")+($K106:$AM106="GF")+($K106:$AM106="GP")))</f>
        <v>0</v>
      </c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</row>
    <row r="107" spans="1:39" hidden="1" outlineLevel="1" x14ac:dyDescent="0.2">
      <c r="A107" s="52" t="str">
        <f ca="1">IF(Residentes!A12="","",Residentes!C12)</f>
        <v>R3</v>
      </c>
      <c r="B107" s="43" t="str">
        <f>IF(Residentes!A12="","",Residentes!A12)</f>
        <v>Enrique Montiel</v>
      </c>
      <c r="C107" s="44">
        <f t="shared" si="32"/>
        <v>0</v>
      </c>
      <c r="D107" s="45">
        <f t="shared" si="33"/>
        <v>0</v>
      </c>
      <c r="E107" s="45">
        <f t="shared" si="34"/>
        <v>0</v>
      </c>
      <c r="F107" s="46">
        <f t="shared" si="35"/>
        <v>0</v>
      </c>
      <c r="G107" s="47" cm="1">
        <f t="array" ref="G107">SUMPRODUCT((($I$100:$AM$100="S")+($I$100:$AM$100="D"))*(($I107:$AM107="G")+($I107:$AM107="GF")+($I107:$AM107="GP")))</f>
        <v>0</v>
      </c>
      <c r="H107" s="47" cm="1">
        <f t="array" ref="H107">SUMPRODUCT(($I$100:$AK$100="V")*(($I107:$AK107="G")+($I107:$AK107="GF")+($I107:$AK107="GP"))*(($K107:$AM107="G")+($K107:$AM107="GF")+($K107:$AM107="GP")))</f>
        <v>0</v>
      </c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</row>
    <row r="108" spans="1:39" hidden="1" outlineLevel="1" x14ac:dyDescent="0.2">
      <c r="A108" s="52" t="str">
        <f ca="1">IF(Residentes!A13="","",Residentes!C13)</f>
        <v>R2</v>
      </c>
      <c r="B108" s="43" t="str">
        <f>IF(Residentes!A13="","",Residentes!A13)</f>
        <v>Fran Zomosa</v>
      </c>
      <c r="C108" s="44">
        <f t="shared" si="32"/>
        <v>0</v>
      </c>
      <c r="D108" s="45">
        <f t="shared" si="33"/>
        <v>0</v>
      </c>
      <c r="E108" s="45">
        <f t="shared" si="34"/>
        <v>0</v>
      </c>
      <c r="F108" s="46">
        <f t="shared" si="35"/>
        <v>0</v>
      </c>
      <c r="G108" s="47" cm="1">
        <f t="array" ref="G108">SUMPRODUCT((($I$100:$AM$100="S")+($I$100:$AM$100="D"))*(($I108:$AM108="G")+($I108:$AM108="GF")+($I108:$AM108="GP")))</f>
        <v>0</v>
      </c>
      <c r="H108" s="47" cm="1">
        <f t="array" ref="H108">SUMPRODUCT(($I$100:$AK$100="V")*(($I108:$AK108="G")+($I108:$AK108="GF")+($I108:$AK108="GP"))*(($K108:$AM108="G")+($K108:$AM108="GF")+($K108:$AM108="GP")))</f>
        <v>0</v>
      </c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</row>
    <row r="109" spans="1:39" hidden="1" outlineLevel="1" x14ac:dyDescent="0.2">
      <c r="A109" s="52" t="str">
        <f ca="1">IF(Residentes!A14="","",Residentes!C14)</f>
        <v>R2</v>
      </c>
      <c r="B109" s="43" t="str">
        <f>IF(Residentes!A14="","",Residentes!A14)</f>
        <v>Agus Lagioiosa</v>
      </c>
      <c r="C109" s="44">
        <f t="shared" si="32"/>
        <v>0</v>
      </c>
      <c r="D109" s="45">
        <f t="shared" si="33"/>
        <v>0</v>
      </c>
      <c r="E109" s="45">
        <f t="shared" si="34"/>
        <v>0</v>
      </c>
      <c r="F109" s="46">
        <f t="shared" si="35"/>
        <v>0</v>
      </c>
      <c r="G109" s="47" cm="1">
        <f t="array" ref="G109">SUMPRODUCT((($I$100:$AM$100="S")+($I$100:$AM$100="D"))*(($I109:$AM109="G")+($I109:$AM109="GF")+($I109:$AM109="GP")))</f>
        <v>0</v>
      </c>
      <c r="H109" s="47" cm="1">
        <f t="array" ref="H109">SUMPRODUCT(($I$100:$AK$100="V")*(($I109:$AK109="G")+($I109:$AK109="GF")+($I109:$AK109="GP"))*(($K109:$AM109="G")+($K109:$AM109="GF")+($K109:$AM109="GP")))</f>
        <v>0</v>
      </c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</row>
    <row r="110" spans="1:39" hidden="1" outlineLevel="1" x14ac:dyDescent="0.2">
      <c r="A110" s="52" t="str">
        <f ca="1">IF(Residentes!A15="","",Residentes!C15)</f>
        <v>R2</v>
      </c>
      <c r="B110" s="43" t="str">
        <f>IF(Residentes!A15="","",Residentes!A15)</f>
        <v>Elena Bonastre</v>
      </c>
      <c r="C110" s="44">
        <f t="shared" si="32"/>
        <v>0</v>
      </c>
      <c r="D110" s="45">
        <f t="shared" si="33"/>
        <v>0</v>
      </c>
      <c r="E110" s="45">
        <f t="shared" si="34"/>
        <v>0</v>
      </c>
      <c r="F110" s="46">
        <f t="shared" si="35"/>
        <v>0</v>
      </c>
      <c r="G110" s="47" cm="1">
        <f t="array" ref="G110">SUMPRODUCT((($I$100:$AM$100="S")+($I$100:$AM$100="D"))*(($I110:$AM110="G")+($I110:$AM110="GF")+($I110:$AM110="GP")))</f>
        <v>0</v>
      </c>
      <c r="H110" s="47" cm="1">
        <f t="array" ref="H110">SUMPRODUCT(($I$100:$AK$100="V")*(($I110:$AK110="G")+($I110:$AK110="GF")+($I110:$AK110="GP"))*(($K110:$AM110="G")+($K110:$AM110="GF")+($K110:$AM110="GP")))</f>
        <v>0</v>
      </c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</row>
    <row r="111" spans="1:39" hidden="1" outlineLevel="1" x14ac:dyDescent="0.2">
      <c r="A111" s="52" t="str">
        <f ca="1">IF(Residentes!A16="","",Residentes!C16)</f>
        <v>R2</v>
      </c>
      <c r="B111" s="43" t="str">
        <f>IF(Residentes!A16="","",Residentes!A16)</f>
        <v>María Armengol</v>
      </c>
      <c r="C111" s="44">
        <f t="shared" si="32"/>
        <v>0</v>
      </c>
      <c r="D111" s="45">
        <f t="shared" si="33"/>
        <v>0</v>
      </c>
      <c r="E111" s="45">
        <f t="shared" si="34"/>
        <v>0</v>
      </c>
      <c r="F111" s="46">
        <f t="shared" si="35"/>
        <v>0</v>
      </c>
      <c r="G111" s="47" cm="1">
        <f t="array" ref="G111">SUMPRODUCT((($I$100:$AM$100="S")+($I$100:$AM$100="D"))*(($I111:$AM111="G")+($I111:$AM111="GF")+($I111:$AM111="GP")))</f>
        <v>0</v>
      </c>
      <c r="H111" s="47" cm="1">
        <f t="array" ref="H111">SUMPRODUCT(($I$100:$AK$100="V")*(($I111:$AK111="G")+($I111:$AK111="GF")+($I111:$AK111="GP"))*(($K111:$AM111="G")+($K111:$AM111="GF")+($K111:$AM111="GP")))</f>
        <v>0</v>
      </c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</row>
    <row r="112" spans="1:39" hidden="1" outlineLevel="1" x14ac:dyDescent="0.2">
      <c r="A112" s="52" t="str">
        <f ca="1">IF(Residentes!A17="","",Residentes!C17)</f>
        <v>R1</v>
      </c>
      <c r="B112" s="43" t="str">
        <f>IF(Residentes!A17="","",Residentes!A17)</f>
        <v>Jaime Normand</v>
      </c>
      <c r="C112" s="44">
        <f t="shared" si="32"/>
        <v>0</v>
      </c>
      <c r="D112" s="45">
        <f t="shared" si="33"/>
        <v>0</v>
      </c>
      <c r="E112" s="45">
        <f t="shared" si="34"/>
        <v>0</v>
      </c>
      <c r="F112" s="46">
        <f t="shared" si="35"/>
        <v>0</v>
      </c>
      <c r="G112" s="47" cm="1">
        <f t="array" ref="G112">SUMPRODUCT((($I$100:$AM$100="S")+($I$100:$AM$100="D"))*(($I112:$AM112="G")+($I112:$AM112="GF")+($I112:$AM112="GP")))</f>
        <v>0</v>
      </c>
      <c r="H112" s="47" cm="1">
        <f t="array" ref="H112">SUMPRODUCT(($I$100:$AK$100="V")*(($I112:$AK112="G")+($I112:$AK112="GF")+($I112:$AK112="GP"))*(($K112:$AM112="G")+($K112:$AM112="GF")+($K112:$AM112="GP")))</f>
        <v>0</v>
      </c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</row>
    <row r="113" spans="1:39" hidden="1" outlineLevel="1" x14ac:dyDescent="0.2">
      <c r="A113" s="52" t="str">
        <f ca="1">IF(Residentes!A18="","",Residentes!C18)</f>
        <v>R1</v>
      </c>
      <c r="B113" s="43" t="str">
        <f>IF(Residentes!A18="","",Residentes!A18)</f>
        <v>Stephanie Aparicio</v>
      </c>
      <c r="C113" s="44">
        <f t="shared" si="32"/>
        <v>0</v>
      </c>
      <c r="D113" s="45">
        <f t="shared" si="33"/>
        <v>0</v>
      </c>
      <c r="E113" s="45">
        <f t="shared" si="34"/>
        <v>0</v>
      </c>
      <c r="F113" s="46">
        <f t="shared" si="35"/>
        <v>0</v>
      </c>
      <c r="G113" s="47" cm="1">
        <f t="array" ref="G113">SUMPRODUCT((($I$100:$AM$100="S")+($I$100:$AM$100="D"))*(($I113:$AM113="G")+($I113:$AM113="GF")+($I113:$AM113="GP")))</f>
        <v>0</v>
      </c>
      <c r="H113" s="47" cm="1">
        <f t="array" ref="H113">SUMPRODUCT(($I$100:$AK$100="V")*(($I113:$AK113="G")+($I113:$AK113="GF")+($I113:$AK113="GP"))*(($K113:$AM113="G")+($K113:$AM113="GF")+($K113:$AM113="GP")))</f>
        <v>0</v>
      </c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</row>
    <row r="114" spans="1:39" hidden="1" outlineLevel="1" x14ac:dyDescent="0.2">
      <c r="A114" s="52" t="str">
        <f ca="1">IF(Residentes!A19="","",Residentes!C19)</f>
        <v>R1</v>
      </c>
      <c r="B114" s="43" t="str">
        <f>IF(Residentes!A19="","",Residentes!A19)</f>
        <v>Marta Martínez</v>
      </c>
      <c r="C114" s="44">
        <f t="shared" si="32"/>
        <v>0</v>
      </c>
      <c r="D114" s="45">
        <f t="shared" si="33"/>
        <v>0</v>
      </c>
      <c r="E114" s="45">
        <f t="shared" si="34"/>
        <v>0</v>
      </c>
      <c r="F114" s="46">
        <f t="shared" si="35"/>
        <v>0</v>
      </c>
      <c r="G114" s="47" cm="1">
        <f t="array" ref="G114">SUMPRODUCT((($I$100:$AM$100="S")+($I$100:$AM$100="D"))*(($I114:$AM114="G")+($I114:$AM114="GF")+($I114:$AM114="GP")))</f>
        <v>0</v>
      </c>
      <c r="H114" s="47" cm="1">
        <f t="array" ref="H114">SUMPRODUCT(($I$100:$AK$100="V")*(($I114:$AK114="G")+($I114:$AK114="GF")+($I114:$AK114="GP"))*(($K114:$AM114="G")+($K114:$AM114="GF")+($K114:$AM114="GP")))</f>
        <v>0</v>
      </c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</row>
    <row r="115" spans="1:39" hidden="1" outlineLevel="1" x14ac:dyDescent="0.2">
      <c r="A115" s="52" t="str">
        <f ca="1">IF(Residentes!A20="","",Residentes!C20)</f>
        <v>R1</v>
      </c>
      <c r="B115" s="43" t="str">
        <f>IF(Residentes!A20="","",Residentes!A20)</f>
        <v>Manuel Cortés</v>
      </c>
      <c r="C115" s="44">
        <f t="shared" si="32"/>
        <v>0</v>
      </c>
      <c r="D115" s="45">
        <f t="shared" si="33"/>
        <v>0</v>
      </c>
      <c r="E115" s="45">
        <f t="shared" si="34"/>
        <v>0</v>
      </c>
      <c r="F115" s="46">
        <f t="shared" si="35"/>
        <v>0</v>
      </c>
      <c r="G115" s="47" cm="1">
        <f t="array" ref="G115">SUMPRODUCT((($I$100:$AM$100="S")+($I$100:$AM$100="D"))*(($I115:$AM115="G")+($I115:$AM115="GF")+($I115:$AM115="GP")))</f>
        <v>0</v>
      </c>
      <c r="H115" s="47" cm="1">
        <f t="array" ref="H115">SUMPRODUCT(($I$100:$AK$100="V")*(($I115:$AK115="G")+($I115:$AK115="GF")+($I115:$AK115="GP"))*(($K115:$AM115="G")+($K115:$AM115="GF")+($K115:$AM115="GP")))</f>
        <v>0</v>
      </c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</row>
    <row r="116" spans="1:39" collapsed="1" x14ac:dyDescent="0.2"/>
    <row r="117" spans="1:39" ht="20" customHeight="1" x14ac:dyDescent="0.2">
      <c r="A117" s="61">
        <v>46357</v>
      </c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</row>
    <row r="118" spans="1:39" ht="24" hidden="1" customHeight="1" outlineLevel="1" x14ac:dyDescent="0.2">
      <c r="A118" s="25" t="s">
        <v>9</v>
      </c>
      <c r="B118" s="25" t="s">
        <v>10</v>
      </c>
      <c r="C118" s="25" t="s">
        <v>11</v>
      </c>
      <c r="D118" s="25" t="s">
        <v>12</v>
      </c>
      <c r="E118" s="25" t="s">
        <v>109</v>
      </c>
      <c r="F118" s="25" t="s">
        <v>13</v>
      </c>
      <c r="G118" s="25" t="s">
        <v>14</v>
      </c>
      <c r="H118" s="25" t="s">
        <v>15</v>
      </c>
      <c r="I118" s="39">
        <f t="shared" ref="I118:AM118" si="36">IF(COLUMN()-8&lt;=DAY(EOMONTH($A$117,0)),COLUMN()-8,"")</f>
        <v>1</v>
      </c>
      <c r="J118" s="39">
        <f t="shared" si="36"/>
        <v>2</v>
      </c>
      <c r="K118" s="39">
        <f t="shared" si="36"/>
        <v>3</v>
      </c>
      <c r="L118" s="39">
        <f t="shared" si="36"/>
        <v>4</v>
      </c>
      <c r="M118" s="39">
        <f t="shared" si="36"/>
        <v>5</v>
      </c>
      <c r="N118" s="39">
        <f t="shared" si="36"/>
        <v>6</v>
      </c>
      <c r="O118" s="39">
        <f t="shared" si="36"/>
        <v>7</v>
      </c>
      <c r="P118" s="39">
        <f t="shared" si="36"/>
        <v>8</v>
      </c>
      <c r="Q118" s="39">
        <f t="shared" si="36"/>
        <v>9</v>
      </c>
      <c r="R118" s="39">
        <f t="shared" si="36"/>
        <v>10</v>
      </c>
      <c r="S118" s="39">
        <f t="shared" si="36"/>
        <v>11</v>
      </c>
      <c r="T118" s="39">
        <f t="shared" si="36"/>
        <v>12</v>
      </c>
      <c r="U118" s="39">
        <f t="shared" si="36"/>
        <v>13</v>
      </c>
      <c r="V118" s="39">
        <f t="shared" si="36"/>
        <v>14</v>
      </c>
      <c r="W118" s="39">
        <f t="shared" si="36"/>
        <v>15</v>
      </c>
      <c r="X118" s="39">
        <f t="shared" si="36"/>
        <v>16</v>
      </c>
      <c r="Y118" s="39">
        <f t="shared" si="36"/>
        <v>17</v>
      </c>
      <c r="Z118" s="39">
        <f t="shared" si="36"/>
        <v>18</v>
      </c>
      <c r="AA118" s="39">
        <f t="shared" si="36"/>
        <v>19</v>
      </c>
      <c r="AB118" s="39">
        <f t="shared" si="36"/>
        <v>20</v>
      </c>
      <c r="AC118" s="39">
        <f t="shared" si="36"/>
        <v>21</v>
      </c>
      <c r="AD118" s="39">
        <f t="shared" si="36"/>
        <v>22</v>
      </c>
      <c r="AE118" s="39">
        <f t="shared" si="36"/>
        <v>23</v>
      </c>
      <c r="AF118" s="39">
        <f t="shared" si="36"/>
        <v>24</v>
      </c>
      <c r="AG118" s="39">
        <f t="shared" si="36"/>
        <v>25</v>
      </c>
      <c r="AH118" s="39">
        <f t="shared" si="36"/>
        <v>26</v>
      </c>
      <c r="AI118" s="39">
        <f t="shared" si="36"/>
        <v>27</v>
      </c>
      <c r="AJ118" s="39">
        <f t="shared" si="36"/>
        <v>28</v>
      </c>
      <c r="AK118" s="39">
        <f t="shared" si="36"/>
        <v>29</v>
      </c>
      <c r="AL118" s="39">
        <f t="shared" si="36"/>
        <v>30</v>
      </c>
      <c r="AM118" s="39">
        <f t="shared" si="36"/>
        <v>31</v>
      </c>
    </row>
    <row r="119" spans="1:39" hidden="1" outlineLevel="1" x14ac:dyDescent="0.2">
      <c r="A119" s="37"/>
      <c r="B119" s="37"/>
      <c r="C119" s="37"/>
      <c r="D119" s="37"/>
      <c r="E119" s="37"/>
      <c r="F119" s="37"/>
      <c r="G119" s="37"/>
      <c r="H119" s="37"/>
      <c r="I119" s="38" t="str">
        <f t="shared" ref="I119:AM119" si="37">IF(COLUMN()-8&lt;=DAY(EOMONTH($A$117,0)),CHOOSE(WEEKDAY($A$117+COLUMN()-9,2),"L","M","X","J","V","S","D"),"")</f>
        <v>M</v>
      </c>
      <c r="J119" s="38" t="str">
        <f t="shared" si="37"/>
        <v>X</v>
      </c>
      <c r="K119" s="38" t="str">
        <f t="shared" si="37"/>
        <v>J</v>
      </c>
      <c r="L119" s="38" t="str">
        <f t="shared" si="37"/>
        <v>V</v>
      </c>
      <c r="M119" s="38" t="str">
        <f t="shared" si="37"/>
        <v>S</v>
      </c>
      <c r="N119" s="38" t="str">
        <f t="shared" si="37"/>
        <v>D</v>
      </c>
      <c r="O119" s="38" t="str">
        <f t="shared" si="37"/>
        <v>L</v>
      </c>
      <c r="P119" s="38" t="str">
        <f t="shared" si="37"/>
        <v>M</v>
      </c>
      <c r="Q119" s="38" t="str">
        <f t="shared" si="37"/>
        <v>X</v>
      </c>
      <c r="R119" s="38" t="str">
        <f t="shared" si="37"/>
        <v>J</v>
      </c>
      <c r="S119" s="38" t="str">
        <f t="shared" si="37"/>
        <v>V</v>
      </c>
      <c r="T119" s="38" t="str">
        <f t="shared" si="37"/>
        <v>S</v>
      </c>
      <c r="U119" s="38" t="str">
        <f t="shared" si="37"/>
        <v>D</v>
      </c>
      <c r="V119" s="38" t="str">
        <f t="shared" si="37"/>
        <v>L</v>
      </c>
      <c r="W119" s="38" t="str">
        <f t="shared" si="37"/>
        <v>M</v>
      </c>
      <c r="X119" s="38" t="str">
        <f t="shared" si="37"/>
        <v>X</v>
      </c>
      <c r="Y119" s="38" t="str">
        <f t="shared" si="37"/>
        <v>J</v>
      </c>
      <c r="Z119" s="38" t="str">
        <f t="shared" si="37"/>
        <v>V</v>
      </c>
      <c r="AA119" s="38" t="str">
        <f t="shared" si="37"/>
        <v>S</v>
      </c>
      <c r="AB119" s="38" t="str">
        <f t="shared" si="37"/>
        <v>D</v>
      </c>
      <c r="AC119" s="38" t="str">
        <f t="shared" si="37"/>
        <v>L</v>
      </c>
      <c r="AD119" s="38" t="str">
        <f t="shared" si="37"/>
        <v>M</v>
      </c>
      <c r="AE119" s="38" t="str">
        <f t="shared" si="37"/>
        <v>X</v>
      </c>
      <c r="AF119" s="38" t="str">
        <f t="shared" si="37"/>
        <v>J</v>
      </c>
      <c r="AG119" s="38" t="str">
        <f t="shared" si="37"/>
        <v>V</v>
      </c>
      <c r="AH119" s="38" t="str">
        <f t="shared" si="37"/>
        <v>S</v>
      </c>
      <c r="AI119" s="38" t="str">
        <f t="shared" si="37"/>
        <v>D</v>
      </c>
      <c r="AJ119" s="38" t="str">
        <f t="shared" si="37"/>
        <v>L</v>
      </c>
      <c r="AK119" s="38" t="str">
        <f t="shared" si="37"/>
        <v>M</v>
      </c>
      <c r="AL119" s="38" t="str">
        <f t="shared" si="37"/>
        <v>X</v>
      </c>
      <c r="AM119" s="38" t="str">
        <f t="shared" si="37"/>
        <v>J</v>
      </c>
    </row>
    <row r="120" spans="1:39" hidden="1" outlineLevel="1" x14ac:dyDescent="0.2">
      <c r="A120" s="52" t="str">
        <f ca="1">IF(Residentes!A6="","",Residentes!C6)</f>
        <v>R4</v>
      </c>
      <c r="B120" s="43" t="str">
        <f>IF(Residentes!A6="","",Residentes!A6)</f>
        <v>Olatz Lopetegui</v>
      </c>
      <c r="C120" s="44">
        <f t="shared" ref="C120:C134" si="38">COUNTIF($I120:$AM120,"G")</f>
        <v>0</v>
      </c>
      <c r="D120" s="45">
        <f t="shared" ref="D120:D134" si="39">COUNTIF($I120:$AM120,"GF")</f>
        <v>0</v>
      </c>
      <c r="E120" s="45">
        <f t="shared" ref="E120:E134" si="40">COUNTIF($I120:$AM120,"GP")</f>
        <v>0</v>
      </c>
      <c r="F120" s="46">
        <f t="shared" ref="F120:F134" si="41">COUNTIF($I120:$AM120,"3P")</f>
        <v>0</v>
      </c>
      <c r="G120" s="47" cm="1">
        <f t="array" ref="G120">SUMPRODUCT((($I$119:$AM$119="S")+($I$119:$AM$119="D"))*(($I120:$AM120="G")+($I120:$AM120="GF")+($I120:$AM120="GP")))</f>
        <v>0</v>
      </c>
      <c r="H120" s="47" cm="1">
        <f t="array" ref="H120">SUMPRODUCT(($I$119:$AK$119="V")*(($I120:$AK120="G")+($I120:$AK120="GF")+($I120:$AK120="GP"))*(($K120:$AM120="G")+($K120:$AM120="GF")+($K120:$AM120="GP")))</f>
        <v>0</v>
      </c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</row>
    <row r="121" spans="1:39" hidden="1" outlineLevel="1" x14ac:dyDescent="0.2">
      <c r="A121" s="52" t="str">
        <f ca="1">IF(Residentes!A7="","",Residentes!C7)</f>
        <v>R4</v>
      </c>
      <c r="B121" s="43" t="str">
        <f>IF(Residentes!A7="","",Residentes!A7)</f>
        <v>Sarai Moliner</v>
      </c>
      <c r="C121" s="44">
        <f t="shared" si="38"/>
        <v>0</v>
      </c>
      <c r="D121" s="45">
        <f t="shared" si="39"/>
        <v>0</v>
      </c>
      <c r="E121" s="45">
        <f t="shared" si="40"/>
        <v>0</v>
      </c>
      <c r="F121" s="46">
        <f t="shared" si="41"/>
        <v>0</v>
      </c>
      <c r="G121" s="47" cm="1">
        <f t="array" ref="G121">SUMPRODUCT((($I$119:$AM$119="S")+($I$119:$AM$119="D"))*(($I121:$AM121="G")+($I121:$AM121="GF")+($I121:$AM121="GP")))</f>
        <v>0</v>
      </c>
      <c r="H121" s="47" cm="1">
        <f t="array" ref="H121">SUMPRODUCT(($I$119:$AK$119="V")*(($I121:$AK121="G")+($I121:$AK121="GF")+($I121:$AK121="GP"))*(($K121:$AM121="G")+($K121:$AM121="GF")+($K121:$AM121="GP")))</f>
        <v>0</v>
      </c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</row>
    <row r="122" spans="1:39" hidden="1" outlineLevel="1" x14ac:dyDescent="0.2">
      <c r="A122" s="52" t="str">
        <f ca="1">IF(Residentes!A8="","",Residentes!C8)</f>
        <v>R4</v>
      </c>
      <c r="B122" s="43" t="str">
        <f>IF(Residentes!A8="","",Residentes!A8)</f>
        <v>Rocío Cutillas</v>
      </c>
      <c r="C122" s="44">
        <f t="shared" si="38"/>
        <v>0</v>
      </c>
      <c r="D122" s="45">
        <f t="shared" si="39"/>
        <v>0</v>
      </c>
      <c r="E122" s="45">
        <f t="shared" si="40"/>
        <v>0</v>
      </c>
      <c r="F122" s="46">
        <f t="shared" si="41"/>
        <v>0</v>
      </c>
      <c r="G122" s="47" cm="1">
        <f t="array" ref="G122">SUMPRODUCT((($I$119:$AM$119="S")+($I$119:$AM$119="D"))*(($I122:$AM122="G")+($I122:$AM122="GF")+($I122:$AM122="GP")))</f>
        <v>0</v>
      </c>
      <c r="H122" s="47" cm="1">
        <f t="array" ref="H122">SUMPRODUCT(($I$119:$AK$119="V")*(($I122:$AK122="G")+($I122:$AK122="GF")+($I122:$AK122="GP"))*(($K122:$AM122="G")+($K122:$AM122="GF")+($K122:$AM122="GP")))</f>
        <v>0</v>
      </c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</row>
    <row r="123" spans="1:39" hidden="1" outlineLevel="1" x14ac:dyDescent="0.2">
      <c r="A123" s="52" t="str">
        <f ca="1">IF(Residentes!A9="","",Residentes!C9)</f>
        <v>R3</v>
      </c>
      <c r="B123" s="43" t="str">
        <f>IF(Residentes!A9="","",Residentes!A9)</f>
        <v>Emi Tumbarello</v>
      </c>
      <c r="C123" s="44">
        <f t="shared" si="38"/>
        <v>0</v>
      </c>
      <c r="D123" s="45">
        <f t="shared" si="39"/>
        <v>0</v>
      </c>
      <c r="E123" s="45">
        <f t="shared" si="40"/>
        <v>0</v>
      </c>
      <c r="F123" s="46">
        <f t="shared" si="41"/>
        <v>0</v>
      </c>
      <c r="G123" s="47" cm="1">
        <f t="array" ref="G123">SUMPRODUCT((($I$119:$AM$119="S")+($I$119:$AM$119="D"))*(($I123:$AM123="G")+($I123:$AM123="GF")+($I123:$AM123="GP")))</f>
        <v>0</v>
      </c>
      <c r="H123" s="47" cm="1">
        <f t="array" ref="H123">SUMPRODUCT(($I$119:$AK$119="V")*(($I123:$AK123="G")+($I123:$AK123="GF")+($I123:$AK123="GP"))*(($K123:$AM123="G")+($K123:$AM123="GF")+($K123:$AM123="GP")))</f>
        <v>0</v>
      </c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</row>
    <row r="124" spans="1:39" hidden="1" outlineLevel="1" x14ac:dyDescent="0.2">
      <c r="A124" s="52" t="str">
        <f ca="1">IF(Residentes!A10="","",Residentes!C10)</f>
        <v>R3</v>
      </c>
      <c r="B124" s="43" t="str">
        <f>IF(Residentes!A10="","",Residentes!A10)</f>
        <v>Teresa Mateo</v>
      </c>
      <c r="C124" s="44">
        <f t="shared" si="38"/>
        <v>0</v>
      </c>
      <c r="D124" s="45">
        <f t="shared" si="39"/>
        <v>0</v>
      </c>
      <c r="E124" s="45">
        <f t="shared" si="40"/>
        <v>0</v>
      </c>
      <c r="F124" s="46">
        <f t="shared" si="41"/>
        <v>0</v>
      </c>
      <c r="G124" s="47" cm="1">
        <f t="array" ref="G124">SUMPRODUCT((($I$119:$AM$119="S")+($I$119:$AM$119="D"))*(($I124:$AM124="G")+($I124:$AM124="GF")+($I124:$AM124="GP")))</f>
        <v>0</v>
      </c>
      <c r="H124" s="47" cm="1">
        <f t="array" ref="H124">SUMPRODUCT(($I$119:$AK$119="V")*(($I124:$AK124="G")+($I124:$AK124="GF")+($I124:$AK124="GP"))*(($K124:$AM124="G")+($K124:$AM124="GF")+($K124:$AM124="GP")))</f>
        <v>0</v>
      </c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</row>
    <row r="125" spans="1:39" hidden="1" outlineLevel="1" x14ac:dyDescent="0.2">
      <c r="A125" s="52" t="str">
        <f ca="1">IF(Residentes!A11="","",Residentes!C11)</f>
        <v>R3</v>
      </c>
      <c r="B125" s="43" t="str">
        <f>IF(Residentes!A11="","",Residentes!A11)</f>
        <v>Elena Sansano</v>
      </c>
      <c r="C125" s="44">
        <f t="shared" si="38"/>
        <v>0</v>
      </c>
      <c r="D125" s="45">
        <f t="shared" si="39"/>
        <v>0</v>
      </c>
      <c r="E125" s="45">
        <f t="shared" si="40"/>
        <v>0</v>
      </c>
      <c r="F125" s="46">
        <f t="shared" si="41"/>
        <v>0</v>
      </c>
      <c r="G125" s="47" cm="1">
        <f t="array" ref="G125">SUMPRODUCT((($I$119:$AM$119="S")+($I$119:$AM$119="D"))*(($I125:$AM125="G")+($I125:$AM125="GF")+($I125:$AM125="GP")))</f>
        <v>0</v>
      </c>
      <c r="H125" s="47" cm="1">
        <f t="array" ref="H125">SUMPRODUCT(($I$119:$AK$119="V")*(($I125:$AK125="G")+($I125:$AK125="GF")+($I125:$AK125="GP"))*(($K125:$AM125="G")+($K125:$AM125="GF")+($K125:$AM125="GP")))</f>
        <v>0</v>
      </c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</row>
    <row r="126" spans="1:39" hidden="1" outlineLevel="1" x14ac:dyDescent="0.2">
      <c r="A126" s="52" t="str">
        <f ca="1">IF(Residentes!A12="","",Residentes!C12)</f>
        <v>R3</v>
      </c>
      <c r="B126" s="43" t="str">
        <f>IF(Residentes!A12="","",Residentes!A12)</f>
        <v>Enrique Montiel</v>
      </c>
      <c r="C126" s="44">
        <f t="shared" si="38"/>
        <v>0</v>
      </c>
      <c r="D126" s="45">
        <f t="shared" si="39"/>
        <v>0</v>
      </c>
      <c r="E126" s="45">
        <f t="shared" si="40"/>
        <v>0</v>
      </c>
      <c r="F126" s="46">
        <f t="shared" si="41"/>
        <v>0</v>
      </c>
      <c r="G126" s="47" cm="1">
        <f t="array" ref="G126">SUMPRODUCT((($I$119:$AM$119="S")+($I$119:$AM$119="D"))*(($I126:$AM126="G")+($I126:$AM126="GF")+($I126:$AM126="GP")))</f>
        <v>0</v>
      </c>
      <c r="H126" s="47" cm="1">
        <f t="array" ref="H126">SUMPRODUCT(($I$119:$AK$119="V")*(($I126:$AK126="G")+($I126:$AK126="GF")+($I126:$AK126="GP"))*(($K126:$AM126="G")+($K126:$AM126="GF")+($K126:$AM126="GP")))</f>
        <v>0</v>
      </c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</row>
    <row r="127" spans="1:39" hidden="1" outlineLevel="1" x14ac:dyDescent="0.2">
      <c r="A127" s="52" t="str">
        <f ca="1">IF(Residentes!A13="","",Residentes!C13)</f>
        <v>R2</v>
      </c>
      <c r="B127" s="43" t="str">
        <f>IF(Residentes!A13="","",Residentes!A13)</f>
        <v>Fran Zomosa</v>
      </c>
      <c r="C127" s="44">
        <f t="shared" si="38"/>
        <v>0</v>
      </c>
      <c r="D127" s="45">
        <f t="shared" si="39"/>
        <v>0</v>
      </c>
      <c r="E127" s="45">
        <f t="shared" si="40"/>
        <v>0</v>
      </c>
      <c r="F127" s="46">
        <f t="shared" si="41"/>
        <v>0</v>
      </c>
      <c r="G127" s="47" cm="1">
        <f t="array" ref="G127">SUMPRODUCT((($I$119:$AM$119="S")+($I$119:$AM$119="D"))*(($I127:$AM127="G")+($I127:$AM127="GF")+($I127:$AM127="GP")))</f>
        <v>0</v>
      </c>
      <c r="H127" s="47" cm="1">
        <f t="array" ref="H127">SUMPRODUCT(($I$119:$AK$119="V")*(($I127:$AK127="G")+($I127:$AK127="GF")+($I127:$AK127="GP"))*(($K127:$AM127="G")+($K127:$AM127="GF")+($K127:$AM127="GP")))</f>
        <v>0</v>
      </c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</row>
    <row r="128" spans="1:39" hidden="1" outlineLevel="1" x14ac:dyDescent="0.2">
      <c r="A128" s="52" t="str">
        <f ca="1">IF(Residentes!A14="","",Residentes!C14)</f>
        <v>R2</v>
      </c>
      <c r="B128" s="43" t="str">
        <f>IF(Residentes!A14="","",Residentes!A14)</f>
        <v>Agus Lagioiosa</v>
      </c>
      <c r="C128" s="44">
        <f t="shared" si="38"/>
        <v>0</v>
      </c>
      <c r="D128" s="45">
        <f t="shared" si="39"/>
        <v>0</v>
      </c>
      <c r="E128" s="45">
        <f t="shared" si="40"/>
        <v>0</v>
      </c>
      <c r="F128" s="46">
        <f t="shared" si="41"/>
        <v>0</v>
      </c>
      <c r="G128" s="47" cm="1">
        <f t="array" ref="G128">SUMPRODUCT((($I$119:$AM$119="S")+($I$119:$AM$119="D"))*(($I128:$AM128="G")+($I128:$AM128="GF")+($I128:$AM128="GP")))</f>
        <v>0</v>
      </c>
      <c r="H128" s="47" cm="1">
        <f t="array" ref="H128">SUMPRODUCT(($I$119:$AK$119="V")*(($I128:$AK128="G")+($I128:$AK128="GF")+($I128:$AK128="GP"))*(($K128:$AM128="G")+($K128:$AM128="GF")+($K128:$AM128="GP")))</f>
        <v>0</v>
      </c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</row>
    <row r="129" spans="1:39" hidden="1" outlineLevel="1" x14ac:dyDescent="0.2">
      <c r="A129" s="52" t="str">
        <f ca="1">IF(Residentes!A15="","",Residentes!C15)</f>
        <v>R2</v>
      </c>
      <c r="B129" s="43" t="str">
        <f>IF(Residentes!A15="","",Residentes!A15)</f>
        <v>Elena Bonastre</v>
      </c>
      <c r="C129" s="44">
        <f t="shared" si="38"/>
        <v>0</v>
      </c>
      <c r="D129" s="45">
        <f t="shared" si="39"/>
        <v>0</v>
      </c>
      <c r="E129" s="45">
        <f t="shared" si="40"/>
        <v>0</v>
      </c>
      <c r="F129" s="46">
        <f t="shared" si="41"/>
        <v>0</v>
      </c>
      <c r="G129" s="47" cm="1">
        <f t="array" ref="G129">SUMPRODUCT((($I$119:$AM$119="S")+($I$119:$AM$119="D"))*(($I129:$AM129="G")+($I129:$AM129="GF")+($I129:$AM129="GP")))</f>
        <v>0</v>
      </c>
      <c r="H129" s="47" cm="1">
        <f t="array" ref="H129">SUMPRODUCT(($I$119:$AK$119="V")*(($I129:$AK129="G")+($I129:$AK129="GF")+($I129:$AK129="GP"))*(($K129:$AM129="G")+($K129:$AM129="GF")+($K129:$AM129="GP")))</f>
        <v>0</v>
      </c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</row>
    <row r="130" spans="1:39" hidden="1" outlineLevel="1" x14ac:dyDescent="0.2">
      <c r="A130" s="52" t="str">
        <f ca="1">IF(Residentes!A16="","",Residentes!C16)</f>
        <v>R2</v>
      </c>
      <c r="B130" s="43" t="str">
        <f>IF(Residentes!A16="","",Residentes!A16)</f>
        <v>María Armengol</v>
      </c>
      <c r="C130" s="44">
        <f t="shared" si="38"/>
        <v>0</v>
      </c>
      <c r="D130" s="45">
        <f t="shared" si="39"/>
        <v>0</v>
      </c>
      <c r="E130" s="45">
        <f t="shared" si="40"/>
        <v>0</v>
      </c>
      <c r="F130" s="46">
        <f t="shared" si="41"/>
        <v>0</v>
      </c>
      <c r="G130" s="47" cm="1">
        <f t="array" ref="G130">SUMPRODUCT((($I$119:$AM$119="S")+($I$119:$AM$119="D"))*(($I130:$AM130="G")+($I130:$AM130="GF")+($I130:$AM130="GP")))</f>
        <v>0</v>
      </c>
      <c r="H130" s="47" cm="1">
        <f t="array" ref="H130">SUMPRODUCT(($I$119:$AK$119="V")*(($I130:$AK130="G")+($I130:$AK130="GF")+($I130:$AK130="GP"))*(($K130:$AM130="G")+($K130:$AM130="GF")+($K130:$AM130="GP")))</f>
        <v>0</v>
      </c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</row>
    <row r="131" spans="1:39" hidden="1" outlineLevel="1" x14ac:dyDescent="0.2">
      <c r="A131" s="52" t="str">
        <f ca="1">IF(Residentes!A17="","",Residentes!C17)</f>
        <v>R1</v>
      </c>
      <c r="B131" s="43" t="str">
        <f>IF(Residentes!A17="","",Residentes!A17)</f>
        <v>Jaime Normand</v>
      </c>
      <c r="C131" s="44">
        <f t="shared" si="38"/>
        <v>0</v>
      </c>
      <c r="D131" s="45">
        <f t="shared" si="39"/>
        <v>0</v>
      </c>
      <c r="E131" s="45">
        <f t="shared" si="40"/>
        <v>0</v>
      </c>
      <c r="F131" s="46">
        <f t="shared" si="41"/>
        <v>0</v>
      </c>
      <c r="G131" s="47" cm="1">
        <f t="array" ref="G131">SUMPRODUCT((($I$119:$AM$119="S")+($I$119:$AM$119="D"))*(($I131:$AM131="G")+($I131:$AM131="GF")+($I131:$AM131="GP")))</f>
        <v>0</v>
      </c>
      <c r="H131" s="47" cm="1">
        <f t="array" ref="H131">SUMPRODUCT(($I$119:$AK$119="V")*(($I131:$AK131="G")+($I131:$AK131="GF")+($I131:$AK131="GP"))*(($K131:$AM131="G")+($K131:$AM131="GF")+($K131:$AM131="GP")))</f>
        <v>0</v>
      </c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</row>
    <row r="132" spans="1:39" hidden="1" outlineLevel="1" x14ac:dyDescent="0.2">
      <c r="A132" s="52" t="str">
        <f ca="1">IF(Residentes!A18="","",Residentes!C18)</f>
        <v>R1</v>
      </c>
      <c r="B132" s="43" t="str">
        <f>IF(Residentes!A18="","",Residentes!A18)</f>
        <v>Stephanie Aparicio</v>
      </c>
      <c r="C132" s="44">
        <f t="shared" si="38"/>
        <v>0</v>
      </c>
      <c r="D132" s="45">
        <f t="shared" si="39"/>
        <v>0</v>
      </c>
      <c r="E132" s="45">
        <f t="shared" si="40"/>
        <v>0</v>
      </c>
      <c r="F132" s="46">
        <f t="shared" si="41"/>
        <v>0</v>
      </c>
      <c r="G132" s="47" cm="1">
        <f t="array" ref="G132">SUMPRODUCT((($I$119:$AM$119="S")+($I$119:$AM$119="D"))*(($I132:$AM132="G")+($I132:$AM132="GF")+($I132:$AM132="GP")))</f>
        <v>0</v>
      </c>
      <c r="H132" s="47" cm="1">
        <f t="array" ref="H132">SUMPRODUCT(($I$119:$AK$119="V")*(($I132:$AK132="G")+($I132:$AK132="GF")+($I132:$AK132="GP"))*(($K132:$AM132="G")+($K132:$AM132="GF")+($K132:$AM132="GP")))</f>
        <v>0</v>
      </c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</row>
    <row r="133" spans="1:39" hidden="1" outlineLevel="1" x14ac:dyDescent="0.2">
      <c r="A133" s="52" t="str">
        <f ca="1">IF(Residentes!A19="","",Residentes!C19)</f>
        <v>R1</v>
      </c>
      <c r="B133" s="43" t="str">
        <f>IF(Residentes!A19="","",Residentes!A19)</f>
        <v>Marta Martínez</v>
      </c>
      <c r="C133" s="44">
        <f t="shared" si="38"/>
        <v>0</v>
      </c>
      <c r="D133" s="45">
        <f t="shared" si="39"/>
        <v>0</v>
      </c>
      <c r="E133" s="45">
        <f t="shared" si="40"/>
        <v>0</v>
      </c>
      <c r="F133" s="46">
        <f t="shared" si="41"/>
        <v>0</v>
      </c>
      <c r="G133" s="47" cm="1">
        <f t="array" ref="G133">SUMPRODUCT((($I$119:$AM$119="S")+($I$119:$AM$119="D"))*(($I133:$AM133="G")+($I133:$AM133="GF")+($I133:$AM133="GP")))</f>
        <v>0</v>
      </c>
      <c r="H133" s="47" cm="1">
        <f t="array" ref="H133">SUMPRODUCT(($I$119:$AK$119="V")*(($I133:$AK133="G")+($I133:$AK133="GF")+($I133:$AK133="GP"))*(($K133:$AM133="G")+($K133:$AM133="GF")+($K133:$AM133="GP")))</f>
        <v>0</v>
      </c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</row>
    <row r="134" spans="1:39" hidden="1" outlineLevel="1" x14ac:dyDescent="0.2">
      <c r="A134" s="52" t="str">
        <f ca="1">IF(Residentes!A20="","",Residentes!C20)</f>
        <v>R1</v>
      </c>
      <c r="B134" s="43" t="str">
        <f>IF(Residentes!A20="","",Residentes!A20)</f>
        <v>Manuel Cortés</v>
      </c>
      <c r="C134" s="44">
        <f t="shared" si="38"/>
        <v>0</v>
      </c>
      <c r="D134" s="45">
        <f t="shared" si="39"/>
        <v>0</v>
      </c>
      <c r="E134" s="45">
        <f t="shared" si="40"/>
        <v>0</v>
      </c>
      <c r="F134" s="46">
        <f t="shared" si="41"/>
        <v>0</v>
      </c>
      <c r="G134" s="47" cm="1">
        <f t="array" ref="G134">SUMPRODUCT((($I$119:$AM$119="S")+($I$119:$AM$119="D"))*(($I134:$AM134="G")+($I134:$AM134="GF")+($I134:$AM134="GP")))</f>
        <v>0</v>
      </c>
      <c r="H134" s="47" cm="1">
        <f t="array" ref="H134">SUMPRODUCT(($I$119:$AK$119="V")*(($I134:$AK134="G")+($I134:$AK134="GF")+($I134:$AK134="GP"))*(($K134:$AM134="G")+($K134:$AM134="GF")+($K134:$AM134="GP")))</f>
        <v>0</v>
      </c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</row>
    <row r="135" spans="1:39" collapsed="1" x14ac:dyDescent="0.2"/>
    <row r="136" spans="1:39" ht="20" customHeight="1" x14ac:dyDescent="0.2">
      <c r="A136" s="61">
        <v>46388</v>
      </c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</row>
    <row r="137" spans="1:39" ht="24" hidden="1" customHeight="1" outlineLevel="1" x14ac:dyDescent="0.2">
      <c r="A137" s="25" t="s">
        <v>9</v>
      </c>
      <c r="B137" s="25" t="s">
        <v>10</v>
      </c>
      <c r="C137" s="25" t="s">
        <v>11</v>
      </c>
      <c r="D137" s="25" t="s">
        <v>12</v>
      </c>
      <c r="E137" s="25" t="s">
        <v>109</v>
      </c>
      <c r="F137" s="25" t="s">
        <v>13</v>
      </c>
      <c r="G137" s="25" t="s">
        <v>14</v>
      </c>
      <c r="H137" s="25" t="s">
        <v>15</v>
      </c>
      <c r="I137" s="39">
        <f t="shared" ref="I137:AM137" si="42">IF(COLUMN()-8&lt;=DAY(EOMONTH($A$136,0)),COLUMN()-8,"")</f>
        <v>1</v>
      </c>
      <c r="J137" s="39">
        <f t="shared" si="42"/>
        <v>2</v>
      </c>
      <c r="K137" s="39">
        <f t="shared" si="42"/>
        <v>3</v>
      </c>
      <c r="L137" s="39">
        <f t="shared" si="42"/>
        <v>4</v>
      </c>
      <c r="M137" s="39">
        <f t="shared" si="42"/>
        <v>5</v>
      </c>
      <c r="N137" s="39">
        <f t="shared" si="42"/>
        <v>6</v>
      </c>
      <c r="O137" s="39">
        <f t="shared" si="42"/>
        <v>7</v>
      </c>
      <c r="P137" s="39">
        <f t="shared" si="42"/>
        <v>8</v>
      </c>
      <c r="Q137" s="39">
        <f t="shared" si="42"/>
        <v>9</v>
      </c>
      <c r="R137" s="39">
        <f t="shared" si="42"/>
        <v>10</v>
      </c>
      <c r="S137" s="39">
        <f t="shared" si="42"/>
        <v>11</v>
      </c>
      <c r="T137" s="39">
        <f t="shared" si="42"/>
        <v>12</v>
      </c>
      <c r="U137" s="39">
        <f t="shared" si="42"/>
        <v>13</v>
      </c>
      <c r="V137" s="39">
        <f t="shared" si="42"/>
        <v>14</v>
      </c>
      <c r="W137" s="39">
        <f t="shared" si="42"/>
        <v>15</v>
      </c>
      <c r="X137" s="39">
        <f t="shared" si="42"/>
        <v>16</v>
      </c>
      <c r="Y137" s="39">
        <f t="shared" si="42"/>
        <v>17</v>
      </c>
      <c r="Z137" s="39">
        <f t="shared" si="42"/>
        <v>18</v>
      </c>
      <c r="AA137" s="39">
        <f t="shared" si="42"/>
        <v>19</v>
      </c>
      <c r="AB137" s="39">
        <f t="shared" si="42"/>
        <v>20</v>
      </c>
      <c r="AC137" s="39">
        <f t="shared" si="42"/>
        <v>21</v>
      </c>
      <c r="AD137" s="39">
        <f t="shared" si="42"/>
        <v>22</v>
      </c>
      <c r="AE137" s="39">
        <f t="shared" si="42"/>
        <v>23</v>
      </c>
      <c r="AF137" s="39">
        <f t="shared" si="42"/>
        <v>24</v>
      </c>
      <c r="AG137" s="39">
        <f t="shared" si="42"/>
        <v>25</v>
      </c>
      <c r="AH137" s="39">
        <f t="shared" si="42"/>
        <v>26</v>
      </c>
      <c r="AI137" s="39">
        <f t="shared" si="42"/>
        <v>27</v>
      </c>
      <c r="AJ137" s="39">
        <f t="shared" si="42"/>
        <v>28</v>
      </c>
      <c r="AK137" s="39">
        <f t="shared" si="42"/>
        <v>29</v>
      </c>
      <c r="AL137" s="39">
        <f t="shared" si="42"/>
        <v>30</v>
      </c>
      <c r="AM137" s="39">
        <f t="shared" si="42"/>
        <v>31</v>
      </c>
    </row>
    <row r="138" spans="1:39" hidden="1" outlineLevel="1" x14ac:dyDescent="0.2">
      <c r="A138" s="37"/>
      <c r="B138" s="37"/>
      <c r="C138" s="37"/>
      <c r="D138" s="37"/>
      <c r="E138" s="37"/>
      <c r="F138" s="37"/>
      <c r="G138" s="37"/>
      <c r="H138" s="37"/>
      <c r="I138" s="38" t="str">
        <f t="shared" ref="I138:AM138" si="43">IF(COLUMN()-8&lt;=DAY(EOMONTH($A$136,0)),CHOOSE(WEEKDAY($A$136+COLUMN()-9,2),"L","M","X","J","V","S","D"),"")</f>
        <v>V</v>
      </c>
      <c r="J138" s="38" t="str">
        <f t="shared" si="43"/>
        <v>S</v>
      </c>
      <c r="K138" s="38" t="str">
        <f t="shared" si="43"/>
        <v>D</v>
      </c>
      <c r="L138" s="38" t="str">
        <f t="shared" si="43"/>
        <v>L</v>
      </c>
      <c r="M138" s="38" t="str">
        <f t="shared" si="43"/>
        <v>M</v>
      </c>
      <c r="N138" s="38" t="str">
        <f t="shared" si="43"/>
        <v>X</v>
      </c>
      <c r="O138" s="38" t="str">
        <f t="shared" si="43"/>
        <v>J</v>
      </c>
      <c r="P138" s="38" t="str">
        <f t="shared" si="43"/>
        <v>V</v>
      </c>
      <c r="Q138" s="38" t="str">
        <f t="shared" si="43"/>
        <v>S</v>
      </c>
      <c r="R138" s="38" t="str">
        <f t="shared" si="43"/>
        <v>D</v>
      </c>
      <c r="S138" s="38" t="str">
        <f t="shared" si="43"/>
        <v>L</v>
      </c>
      <c r="T138" s="38" t="str">
        <f t="shared" si="43"/>
        <v>M</v>
      </c>
      <c r="U138" s="38" t="str">
        <f t="shared" si="43"/>
        <v>X</v>
      </c>
      <c r="V138" s="38" t="str">
        <f t="shared" si="43"/>
        <v>J</v>
      </c>
      <c r="W138" s="38" t="str">
        <f t="shared" si="43"/>
        <v>V</v>
      </c>
      <c r="X138" s="38" t="str">
        <f t="shared" si="43"/>
        <v>S</v>
      </c>
      <c r="Y138" s="38" t="str">
        <f t="shared" si="43"/>
        <v>D</v>
      </c>
      <c r="Z138" s="38" t="str">
        <f t="shared" si="43"/>
        <v>L</v>
      </c>
      <c r="AA138" s="38" t="str">
        <f t="shared" si="43"/>
        <v>M</v>
      </c>
      <c r="AB138" s="38" t="str">
        <f t="shared" si="43"/>
        <v>X</v>
      </c>
      <c r="AC138" s="38" t="str">
        <f t="shared" si="43"/>
        <v>J</v>
      </c>
      <c r="AD138" s="38" t="str">
        <f t="shared" si="43"/>
        <v>V</v>
      </c>
      <c r="AE138" s="38" t="str">
        <f t="shared" si="43"/>
        <v>S</v>
      </c>
      <c r="AF138" s="38" t="str">
        <f t="shared" si="43"/>
        <v>D</v>
      </c>
      <c r="AG138" s="38" t="str">
        <f t="shared" si="43"/>
        <v>L</v>
      </c>
      <c r="AH138" s="38" t="str">
        <f t="shared" si="43"/>
        <v>M</v>
      </c>
      <c r="AI138" s="38" t="str">
        <f t="shared" si="43"/>
        <v>X</v>
      </c>
      <c r="AJ138" s="38" t="str">
        <f t="shared" si="43"/>
        <v>J</v>
      </c>
      <c r="AK138" s="38" t="str">
        <f t="shared" si="43"/>
        <v>V</v>
      </c>
      <c r="AL138" s="38" t="str">
        <f t="shared" si="43"/>
        <v>S</v>
      </c>
      <c r="AM138" s="38" t="str">
        <f t="shared" si="43"/>
        <v>D</v>
      </c>
    </row>
    <row r="139" spans="1:39" hidden="1" outlineLevel="1" x14ac:dyDescent="0.2">
      <c r="A139" s="52" t="str">
        <f ca="1">IF(Residentes!A6="","",Residentes!C6)</f>
        <v>R4</v>
      </c>
      <c r="B139" s="43" t="str">
        <f>IF(Residentes!A6="","",Residentes!A6)</f>
        <v>Olatz Lopetegui</v>
      </c>
      <c r="C139" s="44">
        <f t="shared" ref="C139:C153" si="44">COUNTIF($I139:$AM139,"G")</f>
        <v>0</v>
      </c>
      <c r="D139" s="45">
        <f t="shared" ref="D139:D153" si="45">COUNTIF($I139:$AM139,"GF")</f>
        <v>0</v>
      </c>
      <c r="E139" s="45">
        <f t="shared" ref="E139:E153" si="46">COUNTIF($I139:$AM139,"GP")</f>
        <v>0</v>
      </c>
      <c r="F139" s="46">
        <f t="shared" ref="F139:F153" si="47">COUNTIF($I139:$AM139,"3P")</f>
        <v>0</v>
      </c>
      <c r="G139" s="47" cm="1">
        <f t="array" ref="G139">SUMPRODUCT((($I$138:$AM$138="S")+($I$138:$AM$138="D"))*(($I139:$AM139="G")+($I139:$AM139="GF")+($I139:$AM139="GP")))</f>
        <v>0</v>
      </c>
      <c r="H139" s="47" cm="1">
        <f t="array" ref="H139">SUMPRODUCT(($I$138:$AK$138="V")*(($I139:$AK139="G")+($I139:$AK139="GF")+($I139:$AK139="GP"))*(($K139:$AM139="G")+($K139:$AM139="GF")+($K139:$AM139="GP")))</f>
        <v>0</v>
      </c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</row>
    <row r="140" spans="1:39" hidden="1" outlineLevel="1" x14ac:dyDescent="0.2">
      <c r="A140" s="52" t="str">
        <f ca="1">IF(Residentes!A7="","",Residentes!C7)</f>
        <v>R4</v>
      </c>
      <c r="B140" s="43" t="str">
        <f>IF(Residentes!A7="","",Residentes!A7)</f>
        <v>Sarai Moliner</v>
      </c>
      <c r="C140" s="44">
        <f t="shared" si="44"/>
        <v>0</v>
      </c>
      <c r="D140" s="45">
        <f t="shared" si="45"/>
        <v>0</v>
      </c>
      <c r="E140" s="45">
        <f t="shared" si="46"/>
        <v>0</v>
      </c>
      <c r="F140" s="46">
        <f t="shared" si="47"/>
        <v>0</v>
      </c>
      <c r="G140" s="47" cm="1">
        <f t="array" ref="G140">SUMPRODUCT((($I$138:$AM$138="S")+($I$138:$AM$138="D"))*(($I140:$AM140="G")+($I140:$AM140="GF")+($I140:$AM140="GP")))</f>
        <v>0</v>
      </c>
      <c r="H140" s="47" cm="1">
        <f t="array" ref="H140">SUMPRODUCT(($I$138:$AK$138="V")*(($I140:$AK140="G")+($I140:$AK140="GF")+($I140:$AK140="GP"))*(($K140:$AM140="G")+($K140:$AM140="GF")+($K140:$AM140="GP")))</f>
        <v>0</v>
      </c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</row>
    <row r="141" spans="1:39" hidden="1" outlineLevel="1" x14ac:dyDescent="0.2">
      <c r="A141" s="52" t="str">
        <f ca="1">IF(Residentes!A8="","",Residentes!C8)</f>
        <v>R4</v>
      </c>
      <c r="B141" s="43" t="str">
        <f>IF(Residentes!A8="","",Residentes!A8)</f>
        <v>Rocío Cutillas</v>
      </c>
      <c r="C141" s="44">
        <f t="shared" si="44"/>
        <v>0</v>
      </c>
      <c r="D141" s="45">
        <f t="shared" si="45"/>
        <v>0</v>
      </c>
      <c r="E141" s="45">
        <f t="shared" si="46"/>
        <v>0</v>
      </c>
      <c r="F141" s="46">
        <f t="shared" si="47"/>
        <v>0</v>
      </c>
      <c r="G141" s="47" cm="1">
        <f t="array" ref="G141">SUMPRODUCT((($I$138:$AM$138="S")+($I$138:$AM$138="D"))*(($I141:$AM141="G")+($I141:$AM141="GF")+($I141:$AM141="GP")))</f>
        <v>0</v>
      </c>
      <c r="H141" s="47" cm="1">
        <f t="array" ref="H141">SUMPRODUCT(($I$138:$AK$138="V")*(($I141:$AK141="G")+($I141:$AK141="GF")+($I141:$AK141="GP"))*(($K141:$AM141="G")+($K141:$AM141="GF")+($K141:$AM141="GP")))</f>
        <v>0</v>
      </c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</row>
    <row r="142" spans="1:39" hidden="1" outlineLevel="1" x14ac:dyDescent="0.2">
      <c r="A142" s="52" t="str">
        <f ca="1">IF(Residentes!A9="","",Residentes!C9)</f>
        <v>R3</v>
      </c>
      <c r="B142" s="43" t="str">
        <f>IF(Residentes!A9="","",Residentes!A9)</f>
        <v>Emi Tumbarello</v>
      </c>
      <c r="C142" s="44">
        <f t="shared" si="44"/>
        <v>0</v>
      </c>
      <c r="D142" s="45">
        <f t="shared" si="45"/>
        <v>0</v>
      </c>
      <c r="E142" s="45">
        <f t="shared" si="46"/>
        <v>0</v>
      </c>
      <c r="F142" s="46">
        <f t="shared" si="47"/>
        <v>0</v>
      </c>
      <c r="G142" s="47" cm="1">
        <f t="array" ref="G142">SUMPRODUCT((($I$138:$AM$138="S")+($I$138:$AM$138="D"))*(($I142:$AM142="G")+($I142:$AM142="GF")+($I142:$AM142="GP")))</f>
        <v>0</v>
      </c>
      <c r="H142" s="47" cm="1">
        <f t="array" ref="H142">SUMPRODUCT(($I$138:$AK$138="V")*(($I142:$AK142="G")+($I142:$AK142="GF")+($I142:$AK142="GP"))*(($K142:$AM142="G")+($K142:$AM142="GF")+($K142:$AM142="GP")))</f>
        <v>0</v>
      </c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</row>
    <row r="143" spans="1:39" hidden="1" outlineLevel="1" x14ac:dyDescent="0.2">
      <c r="A143" s="52" t="str">
        <f ca="1">IF(Residentes!A10="","",Residentes!C10)</f>
        <v>R3</v>
      </c>
      <c r="B143" s="43" t="str">
        <f>IF(Residentes!A10="","",Residentes!A10)</f>
        <v>Teresa Mateo</v>
      </c>
      <c r="C143" s="44">
        <f t="shared" si="44"/>
        <v>0</v>
      </c>
      <c r="D143" s="45">
        <f t="shared" si="45"/>
        <v>0</v>
      </c>
      <c r="E143" s="45">
        <f t="shared" si="46"/>
        <v>0</v>
      </c>
      <c r="F143" s="46">
        <f t="shared" si="47"/>
        <v>0</v>
      </c>
      <c r="G143" s="47" cm="1">
        <f t="array" ref="G143">SUMPRODUCT((($I$138:$AM$138="S")+($I$138:$AM$138="D"))*(($I143:$AM143="G")+($I143:$AM143="GF")+($I143:$AM143="GP")))</f>
        <v>0</v>
      </c>
      <c r="H143" s="47" cm="1">
        <f t="array" ref="H143">SUMPRODUCT(($I$138:$AK$138="V")*(($I143:$AK143="G")+($I143:$AK143="GF")+($I143:$AK143="GP"))*(($K143:$AM143="G")+($K143:$AM143="GF")+($K143:$AM143="GP")))</f>
        <v>0</v>
      </c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</row>
    <row r="144" spans="1:39" hidden="1" outlineLevel="1" x14ac:dyDescent="0.2">
      <c r="A144" s="52" t="str">
        <f ca="1">IF(Residentes!A11="","",Residentes!C11)</f>
        <v>R3</v>
      </c>
      <c r="B144" s="43" t="str">
        <f>IF(Residentes!A11="","",Residentes!A11)</f>
        <v>Elena Sansano</v>
      </c>
      <c r="C144" s="44">
        <f t="shared" si="44"/>
        <v>0</v>
      </c>
      <c r="D144" s="45">
        <f t="shared" si="45"/>
        <v>0</v>
      </c>
      <c r="E144" s="45">
        <f t="shared" si="46"/>
        <v>0</v>
      </c>
      <c r="F144" s="46">
        <f t="shared" si="47"/>
        <v>0</v>
      </c>
      <c r="G144" s="47" cm="1">
        <f t="array" ref="G144">SUMPRODUCT((($I$138:$AM$138="S")+($I$138:$AM$138="D"))*(($I144:$AM144="G")+($I144:$AM144="GF")+($I144:$AM144="GP")))</f>
        <v>0</v>
      </c>
      <c r="H144" s="47" cm="1">
        <f t="array" ref="H144">SUMPRODUCT(($I$138:$AK$138="V")*(($I144:$AK144="G")+($I144:$AK144="GF")+($I144:$AK144="GP"))*(($K144:$AM144="G")+($K144:$AM144="GF")+($K144:$AM144="GP")))</f>
        <v>0</v>
      </c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</row>
    <row r="145" spans="1:39" hidden="1" outlineLevel="1" x14ac:dyDescent="0.2">
      <c r="A145" s="52" t="str">
        <f ca="1">IF(Residentes!A12="","",Residentes!C12)</f>
        <v>R3</v>
      </c>
      <c r="B145" s="43" t="str">
        <f>IF(Residentes!A12="","",Residentes!A12)</f>
        <v>Enrique Montiel</v>
      </c>
      <c r="C145" s="44">
        <f t="shared" si="44"/>
        <v>0</v>
      </c>
      <c r="D145" s="45">
        <f t="shared" si="45"/>
        <v>0</v>
      </c>
      <c r="E145" s="45">
        <f t="shared" si="46"/>
        <v>0</v>
      </c>
      <c r="F145" s="46">
        <f t="shared" si="47"/>
        <v>0</v>
      </c>
      <c r="G145" s="47" cm="1">
        <f t="array" ref="G145">SUMPRODUCT((($I$138:$AM$138="S")+($I$138:$AM$138="D"))*(($I145:$AM145="G")+($I145:$AM145="GF")+($I145:$AM145="GP")))</f>
        <v>0</v>
      </c>
      <c r="H145" s="47" cm="1">
        <f t="array" ref="H145">SUMPRODUCT(($I$138:$AK$138="V")*(($I145:$AK145="G")+($I145:$AK145="GF")+($I145:$AK145="GP"))*(($K145:$AM145="G")+($K145:$AM145="GF")+($K145:$AM145="GP")))</f>
        <v>0</v>
      </c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</row>
    <row r="146" spans="1:39" hidden="1" outlineLevel="1" x14ac:dyDescent="0.2">
      <c r="A146" s="52" t="str">
        <f ca="1">IF(Residentes!A13="","",Residentes!C13)</f>
        <v>R2</v>
      </c>
      <c r="B146" s="43" t="str">
        <f>IF(Residentes!A13="","",Residentes!A13)</f>
        <v>Fran Zomosa</v>
      </c>
      <c r="C146" s="44">
        <f t="shared" si="44"/>
        <v>0</v>
      </c>
      <c r="D146" s="45">
        <f t="shared" si="45"/>
        <v>0</v>
      </c>
      <c r="E146" s="45">
        <f t="shared" si="46"/>
        <v>0</v>
      </c>
      <c r="F146" s="46">
        <f t="shared" si="47"/>
        <v>0</v>
      </c>
      <c r="G146" s="47" cm="1">
        <f t="array" ref="G146">SUMPRODUCT((($I$138:$AM$138="S")+($I$138:$AM$138="D"))*(($I146:$AM146="G")+($I146:$AM146="GF")+($I146:$AM146="GP")))</f>
        <v>0</v>
      </c>
      <c r="H146" s="47" cm="1">
        <f t="array" ref="H146">SUMPRODUCT(($I$138:$AK$138="V")*(($I146:$AK146="G")+($I146:$AK146="GF")+($I146:$AK146="GP"))*(($K146:$AM146="G")+($K146:$AM146="GF")+($K146:$AM146="GP")))</f>
        <v>0</v>
      </c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</row>
    <row r="147" spans="1:39" hidden="1" outlineLevel="1" x14ac:dyDescent="0.2">
      <c r="A147" s="52" t="str">
        <f ca="1">IF(Residentes!A14="","",Residentes!C14)</f>
        <v>R2</v>
      </c>
      <c r="B147" s="43" t="str">
        <f>IF(Residentes!A14="","",Residentes!A14)</f>
        <v>Agus Lagioiosa</v>
      </c>
      <c r="C147" s="44">
        <f t="shared" si="44"/>
        <v>0</v>
      </c>
      <c r="D147" s="45">
        <f t="shared" si="45"/>
        <v>0</v>
      </c>
      <c r="E147" s="45">
        <f t="shared" si="46"/>
        <v>0</v>
      </c>
      <c r="F147" s="46">
        <f t="shared" si="47"/>
        <v>0</v>
      </c>
      <c r="G147" s="47" cm="1">
        <f t="array" ref="G147">SUMPRODUCT((($I$138:$AM$138="S")+($I$138:$AM$138="D"))*(($I147:$AM147="G")+($I147:$AM147="GF")+($I147:$AM147="GP")))</f>
        <v>0</v>
      </c>
      <c r="H147" s="47" cm="1">
        <f t="array" ref="H147">SUMPRODUCT(($I$138:$AK$138="V")*(($I147:$AK147="G")+($I147:$AK147="GF")+($I147:$AK147="GP"))*(($K147:$AM147="G")+($K147:$AM147="GF")+($K147:$AM147="GP")))</f>
        <v>0</v>
      </c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</row>
    <row r="148" spans="1:39" hidden="1" outlineLevel="1" x14ac:dyDescent="0.2">
      <c r="A148" s="52" t="str">
        <f ca="1">IF(Residentes!A15="","",Residentes!C15)</f>
        <v>R2</v>
      </c>
      <c r="B148" s="43" t="str">
        <f>IF(Residentes!A15="","",Residentes!A15)</f>
        <v>Elena Bonastre</v>
      </c>
      <c r="C148" s="44">
        <f t="shared" si="44"/>
        <v>0</v>
      </c>
      <c r="D148" s="45">
        <f t="shared" si="45"/>
        <v>0</v>
      </c>
      <c r="E148" s="45">
        <f t="shared" si="46"/>
        <v>0</v>
      </c>
      <c r="F148" s="46">
        <f t="shared" si="47"/>
        <v>0</v>
      </c>
      <c r="G148" s="47" cm="1">
        <f t="array" ref="G148">SUMPRODUCT((($I$138:$AM$138="S")+($I$138:$AM$138="D"))*(($I148:$AM148="G")+($I148:$AM148="GF")+($I148:$AM148="GP")))</f>
        <v>0</v>
      </c>
      <c r="H148" s="47" cm="1">
        <f t="array" ref="H148">SUMPRODUCT(($I$138:$AK$138="V")*(($I148:$AK148="G")+($I148:$AK148="GF")+($I148:$AK148="GP"))*(($K148:$AM148="G")+($K148:$AM148="GF")+($K148:$AM148="GP")))</f>
        <v>0</v>
      </c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</row>
    <row r="149" spans="1:39" hidden="1" outlineLevel="1" x14ac:dyDescent="0.2">
      <c r="A149" s="52" t="str">
        <f ca="1">IF(Residentes!A16="","",Residentes!C16)</f>
        <v>R2</v>
      </c>
      <c r="B149" s="43" t="str">
        <f>IF(Residentes!A16="","",Residentes!A16)</f>
        <v>María Armengol</v>
      </c>
      <c r="C149" s="44">
        <f t="shared" si="44"/>
        <v>0</v>
      </c>
      <c r="D149" s="45">
        <f t="shared" si="45"/>
        <v>0</v>
      </c>
      <c r="E149" s="45">
        <f t="shared" si="46"/>
        <v>0</v>
      </c>
      <c r="F149" s="46">
        <f t="shared" si="47"/>
        <v>0</v>
      </c>
      <c r="G149" s="47" cm="1">
        <f t="array" ref="G149">SUMPRODUCT((($I$138:$AM$138="S")+($I$138:$AM$138="D"))*(($I149:$AM149="G")+($I149:$AM149="GF")+($I149:$AM149="GP")))</f>
        <v>0</v>
      </c>
      <c r="H149" s="47" cm="1">
        <f t="array" ref="H149">SUMPRODUCT(($I$138:$AK$138="V")*(($I149:$AK149="G")+($I149:$AK149="GF")+($I149:$AK149="GP"))*(($K149:$AM149="G")+($K149:$AM149="GF")+($K149:$AM149="GP")))</f>
        <v>0</v>
      </c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</row>
    <row r="150" spans="1:39" hidden="1" outlineLevel="1" x14ac:dyDescent="0.2">
      <c r="A150" s="52" t="str">
        <f ca="1">IF(Residentes!A17="","",Residentes!C17)</f>
        <v>R1</v>
      </c>
      <c r="B150" s="43" t="str">
        <f>IF(Residentes!A17="","",Residentes!A17)</f>
        <v>Jaime Normand</v>
      </c>
      <c r="C150" s="44">
        <f t="shared" si="44"/>
        <v>0</v>
      </c>
      <c r="D150" s="45">
        <f t="shared" si="45"/>
        <v>0</v>
      </c>
      <c r="E150" s="45">
        <f t="shared" si="46"/>
        <v>0</v>
      </c>
      <c r="F150" s="46">
        <f t="shared" si="47"/>
        <v>0</v>
      </c>
      <c r="G150" s="47" cm="1">
        <f t="array" ref="G150">SUMPRODUCT((($I$138:$AM$138="S")+($I$138:$AM$138="D"))*(($I150:$AM150="G")+($I150:$AM150="GF")+($I150:$AM150="GP")))</f>
        <v>0</v>
      </c>
      <c r="H150" s="47" cm="1">
        <f t="array" ref="H150">SUMPRODUCT(($I$138:$AK$138="V")*(($I150:$AK150="G")+($I150:$AK150="GF")+($I150:$AK150="GP"))*(($K150:$AM150="G")+($K150:$AM150="GF")+($K150:$AM150="GP")))</f>
        <v>0</v>
      </c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</row>
    <row r="151" spans="1:39" hidden="1" outlineLevel="1" x14ac:dyDescent="0.2">
      <c r="A151" s="52" t="str">
        <f ca="1">IF(Residentes!A18="","",Residentes!C18)</f>
        <v>R1</v>
      </c>
      <c r="B151" s="43" t="str">
        <f>IF(Residentes!A18="","",Residentes!A18)</f>
        <v>Stephanie Aparicio</v>
      </c>
      <c r="C151" s="44">
        <f t="shared" si="44"/>
        <v>0</v>
      </c>
      <c r="D151" s="45">
        <f t="shared" si="45"/>
        <v>0</v>
      </c>
      <c r="E151" s="45">
        <f t="shared" si="46"/>
        <v>0</v>
      </c>
      <c r="F151" s="46">
        <f t="shared" si="47"/>
        <v>0</v>
      </c>
      <c r="G151" s="47" cm="1">
        <f t="array" ref="G151">SUMPRODUCT((($I$138:$AM$138="S")+($I$138:$AM$138="D"))*(($I151:$AM151="G")+($I151:$AM151="GF")+($I151:$AM151="GP")))</f>
        <v>0</v>
      </c>
      <c r="H151" s="47" cm="1">
        <f t="array" ref="H151">SUMPRODUCT(($I$138:$AK$138="V")*(($I151:$AK151="G")+($I151:$AK151="GF")+($I151:$AK151="GP"))*(($K151:$AM151="G")+($K151:$AM151="GF")+($K151:$AM151="GP")))</f>
        <v>0</v>
      </c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</row>
    <row r="152" spans="1:39" hidden="1" outlineLevel="1" x14ac:dyDescent="0.2">
      <c r="A152" s="52" t="str">
        <f ca="1">IF(Residentes!A19="","",Residentes!C19)</f>
        <v>R1</v>
      </c>
      <c r="B152" s="43" t="str">
        <f>IF(Residentes!A19="","",Residentes!A19)</f>
        <v>Marta Martínez</v>
      </c>
      <c r="C152" s="44">
        <f t="shared" si="44"/>
        <v>0</v>
      </c>
      <c r="D152" s="45">
        <f t="shared" si="45"/>
        <v>0</v>
      </c>
      <c r="E152" s="45">
        <f t="shared" si="46"/>
        <v>0</v>
      </c>
      <c r="F152" s="46">
        <f t="shared" si="47"/>
        <v>0</v>
      </c>
      <c r="G152" s="47" cm="1">
        <f t="array" ref="G152">SUMPRODUCT((($I$138:$AM$138="S")+($I$138:$AM$138="D"))*(($I152:$AM152="G")+($I152:$AM152="GF")+($I152:$AM152="GP")))</f>
        <v>0</v>
      </c>
      <c r="H152" s="47" cm="1">
        <f t="array" ref="H152">SUMPRODUCT(($I$138:$AK$138="V")*(($I152:$AK152="G")+($I152:$AK152="GF")+($I152:$AK152="GP"))*(($K152:$AM152="G")+($K152:$AM152="GF")+($K152:$AM152="GP")))</f>
        <v>0</v>
      </c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</row>
    <row r="153" spans="1:39" hidden="1" outlineLevel="1" x14ac:dyDescent="0.2">
      <c r="A153" s="52" t="str">
        <f ca="1">IF(Residentes!A20="","",Residentes!C20)</f>
        <v>R1</v>
      </c>
      <c r="B153" s="43" t="str">
        <f>IF(Residentes!A20="","",Residentes!A20)</f>
        <v>Manuel Cortés</v>
      </c>
      <c r="C153" s="44">
        <f t="shared" si="44"/>
        <v>0</v>
      </c>
      <c r="D153" s="45">
        <f t="shared" si="45"/>
        <v>0</v>
      </c>
      <c r="E153" s="45">
        <f t="shared" si="46"/>
        <v>0</v>
      </c>
      <c r="F153" s="46">
        <f t="shared" si="47"/>
        <v>0</v>
      </c>
      <c r="G153" s="47" cm="1">
        <f t="array" ref="G153">SUMPRODUCT((($I$138:$AM$138="S")+($I$138:$AM$138="D"))*(($I153:$AM153="G")+($I153:$AM153="GF")+($I153:$AM153="GP")))</f>
        <v>0</v>
      </c>
      <c r="H153" s="47" cm="1">
        <f t="array" ref="H153">SUMPRODUCT(($I$138:$AK$138="V")*(($I153:$AK153="G")+($I153:$AK153="GF")+($I153:$AK153="GP"))*(($K153:$AM153="G")+($K153:$AM153="GF")+($K153:$AM153="GP")))</f>
        <v>0</v>
      </c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</row>
    <row r="154" spans="1:39" collapsed="1" x14ac:dyDescent="0.2"/>
    <row r="155" spans="1:39" ht="20" customHeight="1" x14ac:dyDescent="0.2">
      <c r="A155" s="61">
        <v>46419</v>
      </c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</row>
    <row r="156" spans="1:39" ht="24" hidden="1" customHeight="1" outlineLevel="1" x14ac:dyDescent="0.2">
      <c r="A156" s="25" t="s">
        <v>9</v>
      </c>
      <c r="B156" s="25" t="s">
        <v>10</v>
      </c>
      <c r="C156" s="25" t="s">
        <v>11</v>
      </c>
      <c r="D156" s="25" t="s">
        <v>12</v>
      </c>
      <c r="E156" s="25" t="s">
        <v>109</v>
      </c>
      <c r="F156" s="25" t="s">
        <v>13</v>
      </c>
      <c r="G156" s="25" t="s">
        <v>14</v>
      </c>
      <c r="H156" s="25" t="s">
        <v>15</v>
      </c>
      <c r="I156" s="39">
        <f t="shared" ref="I156:AM156" si="48">IF(COLUMN()-8&lt;=DAY(EOMONTH($A$155,0)),COLUMN()-8,"")</f>
        <v>1</v>
      </c>
      <c r="J156" s="39">
        <f t="shared" si="48"/>
        <v>2</v>
      </c>
      <c r="K156" s="39">
        <f t="shared" si="48"/>
        <v>3</v>
      </c>
      <c r="L156" s="39">
        <f t="shared" si="48"/>
        <v>4</v>
      </c>
      <c r="M156" s="39">
        <f t="shared" si="48"/>
        <v>5</v>
      </c>
      <c r="N156" s="39">
        <f t="shared" si="48"/>
        <v>6</v>
      </c>
      <c r="O156" s="39">
        <f t="shared" si="48"/>
        <v>7</v>
      </c>
      <c r="P156" s="39">
        <f t="shared" si="48"/>
        <v>8</v>
      </c>
      <c r="Q156" s="39">
        <f t="shared" si="48"/>
        <v>9</v>
      </c>
      <c r="R156" s="39">
        <f t="shared" si="48"/>
        <v>10</v>
      </c>
      <c r="S156" s="39">
        <f t="shared" si="48"/>
        <v>11</v>
      </c>
      <c r="T156" s="39">
        <f t="shared" si="48"/>
        <v>12</v>
      </c>
      <c r="U156" s="39">
        <f t="shared" si="48"/>
        <v>13</v>
      </c>
      <c r="V156" s="39">
        <f t="shared" si="48"/>
        <v>14</v>
      </c>
      <c r="W156" s="39">
        <f t="shared" si="48"/>
        <v>15</v>
      </c>
      <c r="X156" s="39">
        <f t="shared" si="48"/>
        <v>16</v>
      </c>
      <c r="Y156" s="39">
        <f t="shared" si="48"/>
        <v>17</v>
      </c>
      <c r="Z156" s="39">
        <f t="shared" si="48"/>
        <v>18</v>
      </c>
      <c r="AA156" s="39">
        <f t="shared" si="48"/>
        <v>19</v>
      </c>
      <c r="AB156" s="39">
        <f t="shared" si="48"/>
        <v>20</v>
      </c>
      <c r="AC156" s="39">
        <f t="shared" si="48"/>
        <v>21</v>
      </c>
      <c r="AD156" s="39">
        <f t="shared" si="48"/>
        <v>22</v>
      </c>
      <c r="AE156" s="39">
        <f t="shared" si="48"/>
        <v>23</v>
      </c>
      <c r="AF156" s="39">
        <f t="shared" si="48"/>
        <v>24</v>
      </c>
      <c r="AG156" s="39">
        <f t="shared" si="48"/>
        <v>25</v>
      </c>
      <c r="AH156" s="39">
        <f t="shared" si="48"/>
        <v>26</v>
      </c>
      <c r="AI156" s="39">
        <f t="shared" si="48"/>
        <v>27</v>
      </c>
      <c r="AJ156" s="39">
        <f t="shared" si="48"/>
        <v>28</v>
      </c>
      <c r="AK156" s="39" t="str">
        <f t="shared" si="48"/>
        <v/>
      </c>
      <c r="AL156" s="39" t="str">
        <f t="shared" si="48"/>
        <v/>
      </c>
      <c r="AM156" s="39" t="str">
        <f t="shared" si="48"/>
        <v/>
      </c>
    </row>
    <row r="157" spans="1:39" hidden="1" outlineLevel="1" x14ac:dyDescent="0.2">
      <c r="A157" s="37"/>
      <c r="B157" s="37"/>
      <c r="C157" s="37"/>
      <c r="D157" s="37"/>
      <c r="E157" s="37"/>
      <c r="F157" s="37"/>
      <c r="G157" s="37"/>
      <c r="H157" s="37"/>
      <c r="I157" s="38" t="str">
        <f t="shared" ref="I157:AM157" si="49">IF(COLUMN()-8&lt;=DAY(EOMONTH($A$155,0)),CHOOSE(WEEKDAY($A$155+COLUMN()-9,2),"L","M","X","J","V","S","D"),"")</f>
        <v>L</v>
      </c>
      <c r="J157" s="38" t="str">
        <f t="shared" si="49"/>
        <v>M</v>
      </c>
      <c r="K157" s="38" t="str">
        <f t="shared" si="49"/>
        <v>X</v>
      </c>
      <c r="L157" s="38" t="str">
        <f t="shared" si="49"/>
        <v>J</v>
      </c>
      <c r="M157" s="38" t="str">
        <f t="shared" si="49"/>
        <v>V</v>
      </c>
      <c r="N157" s="38" t="str">
        <f t="shared" si="49"/>
        <v>S</v>
      </c>
      <c r="O157" s="38" t="str">
        <f t="shared" si="49"/>
        <v>D</v>
      </c>
      <c r="P157" s="38" t="str">
        <f t="shared" si="49"/>
        <v>L</v>
      </c>
      <c r="Q157" s="38" t="str">
        <f t="shared" si="49"/>
        <v>M</v>
      </c>
      <c r="R157" s="38" t="str">
        <f t="shared" si="49"/>
        <v>X</v>
      </c>
      <c r="S157" s="38" t="str">
        <f t="shared" si="49"/>
        <v>J</v>
      </c>
      <c r="T157" s="38" t="str">
        <f t="shared" si="49"/>
        <v>V</v>
      </c>
      <c r="U157" s="38" t="str">
        <f t="shared" si="49"/>
        <v>S</v>
      </c>
      <c r="V157" s="38" t="str">
        <f t="shared" si="49"/>
        <v>D</v>
      </c>
      <c r="W157" s="38" t="str">
        <f t="shared" si="49"/>
        <v>L</v>
      </c>
      <c r="X157" s="38" t="str">
        <f t="shared" si="49"/>
        <v>M</v>
      </c>
      <c r="Y157" s="38" t="str">
        <f t="shared" si="49"/>
        <v>X</v>
      </c>
      <c r="Z157" s="38" t="str">
        <f t="shared" si="49"/>
        <v>J</v>
      </c>
      <c r="AA157" s="38" t="str">
        <f t="shared" si="49"/>
        <v>V</v>
      </c>
      <c r="AB157" s="38" t="str">
        <f t="shared" si="49"/>
        <v>S</v>
      </c>
      <c r="AC157" s="38" t="str">
        <f t="shared" si="49"/>
        <v>D</v>
      </c>
      <c r="AD157" s="38" t="str">
        <f t="shared" si="49"/>
        <v>L</v>
      </c>
      <c r="AE157" s="38" t="str">
        <f t="shared" si="49"/>
        <v>M</v>
      </c>
      <c r="AF157" s="38" t="str">
        <f t="shared" si="49"/>
        <v>X</v>
      </c>
      <c r="AG157" s="38" t="str">
        <f t="shared" si="49"/>
        <v>J</v>
      </c>
      <c r="AH157" s="38" t="str">
        <f t="shared" si="49"/>
        <v>V</v>
      </c>
      <c r="AI157" s="38" t="str">
        <f t="shared" si="49"/>
        <v>S</v>
      </c>
      <c r="AJ157" s="38" t="str">
        <f t="shared" si="49"/>
        <v>D</v>
      </c>
      <c r="AK157" s="38" t="str">
        <f t="shared" si="49"/>
        <v/>
      </c>
      <c r="AL157" s="38" t="str">
        <f t="shared" si="49"/>
        <v/>
      </c>
      <c r="AM157" s="38" t="str">
        <f t="shared" si="49"/>
        <v/>
      </c>
    </row>
    <row r="158" spans="1:39" hidden="1" outlineLevel="1" x14ac:dyDescent="0.2">
      <c r="A158" s="52" t="str">
        <f ca="1">IF(Residentes!A6="","",Residentes!C6)</f>
        <v>R4</v>
      </c>
      <c r="B158" s="43" t="str">
        <f>IF(Residentes!A6="","",Residentes!A6)</f>
        <v>Olatz Lopetegui</v>
      </c>
      <c r="C158" s="44">
        <f t="shared" ref="C158:C172" si="50">COUNTIF($I158:$AM158,"G")</f>
        <v>0</v>
      </c>
      <c r="D158" s="45">
        <f t="shared" ref="D158:D172" si="51">COUNTIF($I158:$AM158,"GF")</f>
        <v>0</v>
      </c>
      <c r="E158" s="45">
        <f t="shared" ref="E158:E172" si="52">COUNTIF($I158:$AM158,"GP")</f>
        <v>0</v>
      </c>
      <c r="F158" s="46">
        <f t="shared" ref="F158:F172" si="53">COUNTIF($I158:$AM158,"3P")</f>
        <v>0</v>
      </c>
      <c r="G158" s="47" cm="1">
        <f t="array" ref="G158">SUMPRODUCT((($I$157:$AM$157="S")+($I$157:$AM$157="D"))*(($I158:$AM158="G")+($I158:$AM158="GF")+($I158:$AM158="GP")))</f>
        <v>0</v>
      </c>
      <c r="H158" s="47" cm="1">
        <f t="array" ref="H158">SUMPRODUCT(($I$157:$AK$157="V")*(($I158:$AK158="G")+($I158:$AK158="GF")+($I158:$AK158="GP"))*(($K158:$AM158="G")+($K158:$AM158="GF")+($K158:$AM158="GP")))</f>
        <v>0</v>
      </c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</row>
    <row r="159" spans="1:39" hidden="1" outlineLevel="1" x14ac:dyDescent="0.2">
      <c r="A159" s="52" t="str">
        <f ca="1">IF(Residentes!A7="","",Residentes!C7)</f>
        <v>R4</v>
      </c>
      <c r="B159" s="43" t="str">
        <f>IF(Residentes!A7="","",Residentes!A7)</f>
        <v>Sarai Moliner</v>
      </c>
      <c r="C159" s="44">
        <f t="shared" si="50"/>
        <v>0</v>
      </c>
      <c r="D159" s="45">
        <f t="shared" si="51"/>
        <v>0</v>
      </c>
      <c r="E159" s="45">
        <f t="shared" si="52"/>
        <v>0</v>
      </c>
      <c r="F159" s="46">
        <f t="shared" si="53"/>
        <v>0</v>
      </c>
      <c r="G159" s="47" cm="1">
        <f t="array" ref="G159">SUMPRODUCT((($I$157:$AM$157="S")+($I$157:$AM$157="D"))*(($I159:$AM159="G")+($I159:$AM159="GF")+($I159:$AM159="GP")))</f>
        <v>0</v>
      </c>
      <c r="H159" s="47" cm="1">
        <f t="array" ref="H159">SUMPRODUCT(($I$157:$AK$157="V")*(($I159:$AK159="G")+($I159:$AK159="GF")+($I159:$AK159="GP"))*(($K159:$AM159="G")+($K159:$AM159="GF")+($K159:$AM159="GP")))</f>
        <v>0</v>
      </c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</row>
    <row r="160" spans="1:39" hidden="1" outlineLevel="1" x14ac:dyDescent="0.2">
      <c r="A160" s="52" t="str">
        <f ca="1">IF(Residentes!A8="","",Residentes!C8)</f>
        <v>R4</v>
      </c>
      <c r="B160" s="43" t="str">
        <f>IF(Residentes!A8="","",Residentes!A8)</f>
        <v>Rocío Cutillas</v>
      </c>
      <c r="C160" s="44">
        <f t="shared" si="50"/>
        <v>0</v>
      </c>
      <c r="D160" s="45">
        <f t="shared" si="51"/>
        <v>0</v>
      </c>
      <c r="E160" s="45">
        <f t="shared" si="52"/>
        <v>0</v>
      </c>
      <c r="F160" s="46">
        <f t="shared" si="53"/>
        <v>0</v>
      </c>
      <c r="G160" s="47" cm="1">
        <f t="array" ref="G160">SUMPRODUCT((($I$157:$AM$157="S")+($I$157:$AM$157="D"))*(($I160:$AM160="G")+($I160:$AM160="GF")+($I160:$AM160="GP")))</f>
        <v>0</v>
      </c>
      <c r="H160" s="47" cm="1">
        <f t="array" ref="H160">SUMPRODUCT(($I$157:$AK$157="V")*(($I160:$AK160="G")+($I160:$AK160="GF")+($I160:$AK160="GP"))*(($K160:$AM160="G")+($K160:$AM160="GF")+($K160:$AM160="GP")))</f>
        <v>0</v>
      </c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</row>
    <row r="161" spans="1:39" hidden="1" outlineLevel="1" x14ac:dyDescent="0.2">
      <c r="A161" s="52" t="str">
        <f ca="1">IF(Residentes!A9="","",Residentes!C9)</f>
        <v>R3</v>
      </c>
      <c r="B161" s="43" t="str">
        <f>IF(Residentes!A9="","",Residentes!A9)</f>
        <v>Emi Tumbarello</v>
      </c>
      <c r="C161" s="44">
        <f t="shared" si="50"/>
        <v>0</v>
      </c>
      <c r="D161" s="45">
        <f t="shared" si="51"/>
        <v>0</v>
      </c>
      <c r="E161" s="45">
        <f t="shared" si="52"/>
        <v>0</v>
      </c>
      <c r="F161" s="46">
        <f t="shared" si="53"/>
        <v>0</v>
      </c>
      <c r="G161" s="47" cm="1">
        <f t="array" ref="G161">SUMPRODUCT((($I$157:$AM$157="S")+($I$157:$AM$157="D"))*(($I161:$AM161="G")+($I161:$AM161="GF")+($I161:$AM161="GP")))</f>
        <v>0</v>
      </c>
      <c r="H161" s="47" cm="1">
        <f t="array" ref="H161">SUMPRODUCT(($I$157:$AK$157="V")*(($I161:$AK161="G")+($I161:$AK161="GF")+($I161:$AK161="GP"))*(($K161:$AM161="G")+($K161:$AM161="GF")+($K161:$AM161="GP")))</f>
        <v>0</v>
      </c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</row>
    <row r="162" spans="1:39" hidden="1" outlineLevel="1" x14ac:dyDescent="0.2">
      <c r="A162" s="52" t="str">
        <f ca="1">IF(Residentes!A10="","",Residentes!C10)</f>
        <v>R3</v>
      </c>
      <c r="B162" s="43" t="str">
        <f>IF(Residentes!A10="","",Residentes!A10)</f>
        <v>Teresa Mateo</v>
      </c>
      <c r="C162" s="44">
        <f t="shared" si="50"/>
        <v>0</v>
      </c>
      <c r="D162" s="45">
        <f t="shared" si="51"/>
        <v>0</v>
      </c>
      <c r="E162" s="45">
        <f t="shared" si="52"/>
        <v>0</v>
      </c>
      <c r="F162" s="46">
        <f t="shared" si="53"/>
        <v>0</v>
      </c>
      <c r="G162" s="47" cm="1">
        <f t="array" ref="G162">SUMPRODUCT((($I$157:$AM$157="S")+($I$157:$AM$157="D"))*(($I162:$AM162="G")+($I162:$AM162="GF")+($I162:$AM162="GP")))</f>
        <v>0</v>
      </c>
      <c r="H162" s="47" cm="1">
        <f t="array" ref="H162">SUMPRODUCT(($I$157:$AK$157="V")*(($I162:$AK162="G")+($I162:$AK162="GF")+($I162:$AK162="GP"))*(($K162:$AM162="G")+($K162:$AM162="GF")+($K162:$AM162="GP")))</f>
        <v>0</v>
      </c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</row>
    <row r="163" spans="1:39" hidden="1" outlineLevel="1" x14ac:dyDescent="0.2">
      <c r="A163" s="52" t="str">
        <f ca="1">IF(Residentes!A11="","",Residentes!C11)</f>
        <v>R3</v>
      </c>
      <c r="B163" s="43" t="str">
        <f>IF(Residentes!A11="","",Residentes!A11)</f>
        <v>Elena Sansano</v>
      </c>
      <c r="C163" s="44">
        <f t="shared" si="50"/>
        <v>0</v>
      </c>
      <c r="D163" s="45">
        <f t="shared" si="51"/>
        <v>0</v>
      </c>
      <c r="E163" s="45">
        <f t="shared" si="52"/>
        <v>0</v>
      </c>
      <c r="F163" s="46">
        <f t="shared" si="53"/>
        <v>0</v>
      </c>
      <c r="G163" s="47" cm="1">
        <f t="array" ref="G163">SUMPRODUCT((($I$157:$AM$157="S")+($I$157:$AM$157="D"))*(($I163:$AM163="G")+($I163:$AM163="GF")+($I163:$AM163="GP")))</f>
        <v>0</v>
      </c>
      <c r="H163" s="47" cm="1">
        <f t="array" ref="H163">SUMPRODUCT(($I$157:$AK$157="V")*(($I163:$AK163="G")+($I163:$AK163="GF")+($I163:$AK163="GP"))*(($K163:$AM163="G")+($K163:$AM163="GF")+($K163:$AM163="GP")))</f>
        <v>0</v>
      </c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</row>
    <row r="164" spans="1:39" hidden="1" outlineLevel="1" x14ac:dyDescent="0.2">
      <c r="A164" s="52" t="str">
        <f ca="1">IF(Residentes!A12="","",Residentes!C12)</f>
        <v>R3</v>
      </c>
      <c r="B164" s="43" t="str">
        <f>IF(Residentes!A12="","",Residentes!A12)</f>
        <v>Enrique Montiel</v>
      </c>
      <c r="C164" s="44">
        <f t="shared" si="50"/>
        <v>0</v>
      </c>
      <c r="D164" s="45">
        <f t="shared" si="51"/>
        <v>0</v>
      </c>
      <c r="E164" s="45">
        <f t="shared" si="52"/>
        <v>0</v>
      </c>
      <c r="F164" s="46">
        <f t="shared" si="53"/>
        <v>0</v>
      </c>
      <c r="G164" s="47" cm="1">
        <f t="array" ref="G164">SUMPRODUCT((($I$157:$AM$157="S")+($I$157:$AM$157="D"))*(($I164:$AM164="G")+($I164:$AM164="GF")+($I164:$AM164="GP")))</f>
        <v>0</v>
      </c>
      <c r="H164" s="47" cm="1">
        <f t="array" ref="H164">SUMPRODUCT(($I$157:$AK$157="V")*(($I164:$AK164="G")+($I164:$AK164="GF")+($I164:$AK164="GP"))*(($K164:$AM164="G")+($K164:$AM164="GF")+($K164:$AM164="GP")))</f>
        <v>0</v>
      </c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</row>
    <row r="165" spans="1:39" hidden="1" outlineLevel="1" x14ac:dyDescent="0.2">
      <c r="A165" s="52" t="str">
        <f ca="1">IF(Residentes!A13="","",Residentes!C13)</f>
        <v>R2</v>
      </c>
      <c r="B165" s="43" t="str">
        <f>IF(Residentes!A13="","",Residentes!A13)</f>
        <v>Fran Zomosa</v>
      </c>
      <c r="C165" s="44">
        <f t="shared" si="50"/>
        <v>0</v>
      </c>
      <c r="D165" s="45">
        <f t="shared" si="51"/>
        <v>0</v>
      </c>
      <c r="E165" s="45">
        <f t="shared" si="52"/>
        <v>0</v>
      </c>
      <c r="F165" s="46">
        <f t="shared" si="53"/>
        <v>0</v>
      </c>
      <c r="G165" s="47" cm="1">
        <f t="array" ref="G165">SUMPRODUCT((($I$157:$AM$157="S")+($I$157:$AM$157="D"))*(($I165:$AM165="G")+($I165:$AM165="GF")+($I165:$AM165="GP")))</f>
        <v>0</v>
      </c>
      <c r="H165" s="47" cm="1">
        <f t="array" ref="H165">SUMPRODUCT(($I$157:$AK$157="V")*(($I165:$AK165="G")+($I165:$AK165="GF")+($I165:$AK165="GP"))*(($K165:$AM165="G")+($K165:$AM165="GF")+($K165:$AM165="GP")))</f>
        <v>0</v>
      </c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</row>
    <row r="166" spans="1:39" hidden="1" outlineLevel="1" x14ac:dyDescent="0.2">
      <c r="A166" s="52" t="str">
        <f ca="1">IF(Residentes!A14="","",Residentes!C14)</f>
        <v>R2</v>
      </c>
      <c r="B166" s="43" t="str">
        <f>IF(Residentes!A14="","",Residentes!A14)</f>
        <v>Agus Lagioiosa</v>
      </c>
      <c r="C166" s="44">
        <f t="shared" si="50"/>
        <v>0</v>
      </c>
      <c r="D166" s="45">
        <f t="shared" si="51"/>
        <v>0</v>
      </c>
      <c r="E166" s="45">
        <f t="shared" si="52"/>
        <v>0</v>
      </c>
      <c r="F166" s="46">
        <f t="shared" si="53"/>
        <v>0</v>
      </c>
      <c r="G166" s="47" cm="1">
        <f t="array" ref="G166">SUMPRODUCT((($I$157:$AM$157="S")+($I$157:$AM$157="D"))*(($I166:$AM166="G")+($I166:$AM166="GF")+($I166:$AM166="GP")))</f>
        <v>0</v>
      </c>
      <c r="H166" s="47" cm="1">
        <f t="array" ref="H166">SUMPRODUCT(($I$157:$AK$157="V")*(($I166:$AK166="G")+($I166:$AK166="GF")+($I166:$AK166="GP"))*(($K166:$AM166="G")+($K166:$AM166="GF")+($K166:$AM166="GP")))</f>
        <v>0</v>
      </c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</row>
    <row r="167" spans="1:39" hidden="1" outlineLevel="1" x14ac:dyDescent="0.2">
      <c r="A167" s="52" t="str">
        <f ca="1">IF(Residentes!A15="","",Residentes!C15)</f>
        <v>R2</v>
      </c>
      <c r="B167" s="43" t="str">
        <f>IF(Residentes!A15="","",Residentes!A15)</f>
        <v>Elena Bonastre</v>
      </c>
      <c r="C167" s="44">
        <f t="shared" si="50"/>
        <v>0</v>
      </c>
      <c r="D167" s="45">
        <f t="shared" si="51"/>
        <v>0</v>
      </c>
      <c r="E167" s="45">
        <f t="shared" si="52"/>
        <v>0</v>
      </c>
      <c r="F167" s="46">
        <f t="shared" si="53"/>
        <v>0</v>
      </c>
      <c r="G167" s="47" cm="1">
        <f t="array" ref="G167">SUMPRODUCT((($I$157:$AM$157="S")+($I$157:$AM$157="D"))*(($I167:$AM167="G")+($I167:$AM167="GF")+($I167:$AM167="GP")))</f>
        <v>0</v>
      </c>
      <c r="H167" s="47" cm="1">
        <f t="array" ref="H167">SUMPRODUCT(($I$157:$AK$157="V")*(($I167:$AK167="G")+($I167:$AK167="GF")+($I167:$AK167="GP"))*(($K167:$AM167="G")+($K167:$AM167="GF")+($K167:$AM167="GP")))</f>
        <v>0</v>
      </c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</row>
    <row r="168" spans="1:39" hidden="1" outlineLevel="1" x14ac:dyDescent="0.2">
      <c r="A168" s="52" t="str">
        <f ca="1">IF(Residentes!A16="","",Residentes!C16)</f>
        <v>R2</v>
      </c>
      <c r="B168" s="43" t="str">
        <f>IF(Residentes!A16="","",Residentes!A16)</f>
        <v>María Armengol</v>
      </c>
      <c r="C168" s="44">
        <f t="shared" si="50"/>
        <v>0</v>
      </c>
      <c r="D168" s="45">
        <f t="shared" si="51"/>
        <v>0</v>
      </c>
      <c r="E168" s="45">
        <f t="shared" si="52"/>
        <v>0</v>
      </c>
      <c r="F168" s="46">
        <f t="shared" si="53"/>
        <v>0</v>
      </c>
      <c r="G168" s="47" cm="1">
        <f t="array" ref="G168">SUMPRODUCT((($I$157:$AM$157="S")+($I$157:$AM$157="D"))*(($I168:$AM168="G")+($I168:$AM168="GF")+($I168:$AM168="GP")))</f>
        <v>0</v>
      </c>
      <c r="H168" s="47" cm="1">
        <f t="array" ref="H168">SUMPRODUCT(($I$157:$AK$157="V")*(($I168:$AK168="G")+($I168:$AK168="GF")+($I168:$AK168="GP"))*(($K168:$AM168="G")+($K168:$AM168="GF")+($K168:$AM168="GP")))</f>
        <v>0</v>
      </c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</row>
    <row r="169" spans="1:39" hidden="1" outlineLevel="1" x14ac:dyDescent="0.2">
      <c r="A169" s="52" t="str">
        <f ca="1">IF(Residentes!A17="","",Residentes!C17)</f>
        <v>R1</v>
      </c>
      <c r="B169" s="43" t="str">
        <f>IF(Residentes!A17="","",Residentes!A17)</f>
        <v>Jaime Normand</v>
      </c>
      <c r="C169" s="44">
        <f t="shared" si="50"/>
        <v>0</v>
      </c>
      <c r="D169" s="45">
        <f t="shared" si="51"/>
        <v>0</v>
      </c>
      <c r="E169" s="45">
        <f t="shared" si="52"/>
        <v>0</v>
      </c>
      <c r="F169" s="46">
        <f t="shared" si="53"/>
        <v>0</v>
      </c>
      <c r="G169" s="47" cm="1">
        <f t="array" ref="G169">SUMPRODUCT((($I$157:$AM$157="S")+($I$157:$AM$157="D"))*(($I169:$AM169="G")+($I169:$AM169="GF")+($I169:$AM169="GP")))</f>
        <v>0</v>
      </c>
      <c r="H169" s="47" cm="1">
        <f t="array" ref="H169">SUMPRODUCT(($I$157:$AK$157="V")*(($I169:$AK169="G")+($I169:$AK169="GF")+($I169:$AK169="GP"))*(($K169:$AM169="G")+($K169:$AM169="GF")+($K169:$AM169="GP")))</f>
        <v>0</v>
      </c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</row>
    <row r="170" spans="1:39" hidden="1" outlineLevel="1" x14ac:dyDescent="0.2">
      <c r="A170" s="52" t="str">
        <f ca="1">IF(Residentes!A18="","",Residentes!C18)</f>
        <v>R1</v>
      </c>
      <c r="B170" s="43" t="str">
        <f>IF(Residentes!A18="","",Residentes!A18)</f>
        <v>Stephanie Aparicio</v>
      </c>
      <c r="C170" s="44">
        <f t="shared" si="50"/>
        <v>0</v>
      </c>
      <c r="D170" s="45">
        <f t="shared" si="51"/>
        <v>0</v>
      </c>
      <c r="E170" s="45">
        <f t="shared" si="52"/>
        <v>0</v>
      </c>
      <c r="F170" s="46">
        <f t="shared" si="53"/>
        <v>0</v>
      </c>
      <c r="G170" s="47" cm="1">
        <f t="array" ref="G170">SUMPRODUCT((($I$157:$AM$157="S")+($I$157:$AM$157="D"))*(($I170:$AM170="G")+($I170:$AM170="GF")+($I170:$AM170="GP")))</f>
        <v>0</v>
      </c>
      <c r="H170" s="47" cm="1">
        <f t="array" ref="H170">SUMPRODUCT(($I$157:$AK$157="V")*(($I170:$AK170="G")+($I170:$AK170="GF")+($I170:$AK170="GP"))*(($K170:$AM170="G")+($K170:$AM170="GF")+($K170:$AM170="GP")))</f>
        <v>0</v>
      </c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</row>
    <row r="171" spans="1:39" hidden="1" outlineLevel="1" x14ac:dyDescent="0.2">
      <c r="A171" s="52" t="str">
        <f ca="1">IF(Residentes!A19="","",Residentes!C19)</f>
        <v>R1</v>
      </c>
      <c r="B171" s="43" t="str">
        <f>IF(Residentes!A19="","",Residentes!A19)</f>
        <v>Marta Martínez</v>
      </c>
      <c r="C171" s="44">
        <f t="shared" si="50"/>
        <v>0</v>
      </c>
      <c r="D171" s="45">
        <f t="shared" si="51"/>
        <v>0</v>
      </c>
      <c r="E171" s="45">
        <f t="shared" si="52"/>
        <v>0</v>
      </c>
      <c r="F171" s="46">
        <f t="shared" si="53"/>
        <v>0</v>
      </c>
      <c r="G171" s="47" cm="1">
        <f t="array" ref="G171">SUMPRODUCT((($I$157:$AM$157="S")+($I$157:$AM$157="D"))*(($I171:$AM171="G")+($I171:$AM171="GF")+($I171:$AM171="GP")))</f>
        <v>0</v>
      </c>
      <c r="H171" s="47" cm="1">
        <f t="array" ref="H171">SUMPRODUCT(($I$157:$AK$157="V")*(($I171:$AK171="G")+($I171:$AK171="GF")+($I171:$AK171="GP"))*(($K171:$AM171="G")+($K171:$AM171="GF")+($K171:$AM171="GP")))</f>
        <v>0</v>
      </c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</row>
    <row r="172" spans="1:39" hidden="1" outlineLevel="1" x14ac:dyDescent="0.2">
      <c r="A172" s="52" t="str">
        <f ca="1">IF(Residentes!A20="","",Residentes!C20)</f>
        <v>R1</v>
      </c>
      <c r="B172" s="43" t="str">
        <f>IF(Residentes!A20="","",Residentes!A20)</f>
        <v>Manuel Cortés</v>
      </c>
      <c r="C172" s="44">
        <f t="shared" si="50"/>
        <v>0</v>
      </c>
      <c r="D172" s="45">
        <f t="shared" si="51"/>
        <v>0</v>
      </c>
      <c r="E172" s="45">
        <f t="shared" si="52"/>
        <v>0</v>
      </c>
      <c r="F172" s="46">
        <f t="shared" si="53"/>
        <v>0</v>
      </c>
      <c r="G172" s="47" cm="1">
        <f t="array" ref="G172">SUMPRODUCT((($I$157:$AM$157="S")+($I$157:$AM$157="D"))*(($I172:$AM172="G")+($I172:$AM172="GF")+($I172:$AM172="GP")))</f>
        <v>0</v>
      </c>
      <c r="H172" s="47" cm="1">
        <f t="array" ref="H172">SUMPRODUCT(($I$157:$AK$157="V")*(($I172:$AK172="G")+($I172:$AK172="GF")+($I172:$AK172="GP"))*(($K172:$AM172="G")+($K172:$AM172="GF")+($K172:$AM172="GP")))</f>
        <v>0</v>
      </c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</row>
    <row r="173" spans="1:39" collapsed="1" x14ac:dyDescent="0.2"/>
    <row r="174" spans="1:39" ht="20" customHeight="1" x14ac:dyDescent="0.2">
      <c r="A174" s="61">
        <v>46447</v>
      </c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</row>
    <row r="175" spans="1:39" ht="24" hidden="1" customHeight="1" outlineLevel="1" x14ac:dyDescent="0.2">
      <c r="A175" s="25" t="s">
        <v>9</v>
      </c>
      <c r="B175" s="25" t="s">
        <v>10</v>
      </c>
      <c r="C175" s="25" t="s">
        <v>11</v>
      </c>
      <c r="D175" s="25" t="s">
        <v>12</v>
      </c>
      <c r="E175" s="25" t="s">
        <v>109</v>
      </c>
      <c r="F175" s="25" t="s">
        <v>13</v>
      </c>
      <c r="G175" s="25" t="s">
        <v>14</v>
      </c>
      <c r="H175" s="25" t="s">
        <v>15</v>
      </c>
      <c r="I175" s="39">
        <f t="shared" ref="I175:AM175" si="54">IF(COLUMN()-8&lt;=DAY(EOMONTH($A$174,0)),COLUMN()-8,"")</f>
        <v>1</v>
      </c>
      <c r="J175" s="39">
        <f t="shared" si="54"/>
        <v>2</v>
      </c>
      <c r="K175" s="39">
        <f t="shared" si="54"/>
        <v>3</v>
      </c>
      <c r="L175" s="39">
        <f t="shared" si="54"/>
        <v>4</v>
      </c>
      <c r="M175" s="39">
        <f t="shared" si="54"/>
        <v>5</v>
      </c>
      <c r="N175" s="39">
        <f t="shared" si="54"/>
        <v>6</v>
      </c>
      <c r="O175" s="39">
        <f t="shared" si="54"/>
        <v>7</v>
      </c>
      <c r="P175" s="39">
        <f t="shared" si="54"/>
        <v>8</v>
      </c>
      <c r="Q175" s="39">
        <f t="shared" si="54"/>
        <v>9</v>
      </c>
      <c r="R175" s="39">
        <f t="shared" si="54"/>
        <v>10</v>
      </c>
      <c r="S175" s="39">
        <f t="shared" si="54"/>
        <v>11</v>
      </c>
      <c r="T175" s="39">
        <f t="shared" si="54"/>
        <v>12</v>
      </c>
      <c r="U175" s="39">
        <f t="shared" si="54"/>
        <v>13</v>
      </c>
      <c r="V175" s="39">
        <f t="shared" si="54"/>
        <v>14</v>
      </c>
      <c r="W175" s="39">
        <f t="shared" si="54"/>
        <v>15</v>
      </c>
      <c r="X175" s="39">
        <f t="shared" si="54"/>
        <v>16</v>
      </c>
      <c r="Y175" s="39">
        <f t="shared" si="54"/>
        <v>17</v>
      </c>
      <c r="Z175" s="39">
        <f t="shared" si="54"/>
        <v>18</v>
      </c>
      <c r="AA175" s="39">
        <f t="shared" si="54"/>
        <v>19</v>
      </c>
      <c r="AB175" s="39">
        <f t="shared" si="54"/>
        <v>20</v>
      </c>
      <c r="AC175" s="39">
        <f t="shared" si="54"/>
        <v>21</v>
      </c>
      <c r="AD175" s="39">
        <f t="shared" si="54"/>
        <v>22</v>
      </c>
      <c r="AE175" s="39">
        <f t="shared" si="54"/>
        <v>23</v>
      </c>
      <c r="AF175" s="39">
        <f t="shared" si="54"/>
        <v>24</v>
      </c>
      <c r="AG175" s="39">
        <f t="shared" si="54"/>
        <v>25</v>
      </c>
      <c r="AH175" s="39">
        <f t="shared" si="54"/>
        <v>26</v>
      </c>
      <c r="AI175" s="39">
        <f t="shared" si="54"/>
        <v>27</v>
      </c>
      <c r="AJ175" s="39">
        <f t="shared" si="54"/>
        <v>28</v>
      </c>
      <c r="AK175" s="39">
        <f t="shared" si="54"/>
        <v>29</v>
      </c>
      <c r="AL175" s="39">
        <f t="shared" si="54"/>
        <v>30</v>
      </c>
      <c r="AM175" s="39">
        <f t="shared" si="54"/>
        <v>31</v>
      </c>
    </row>
    <row r="176" spans="1:39" hidden="1" outlineLevel="1" x14ac:dyDescent="0.2">
      <c r="A176" s="37"/>
      <c r="B176" s="37"/>
      <c r="C176" s="37"/>
      <c r="D176" s="37"/>
      <c r="E176" s="37"/>
      <c r="F176" s="37"/>
      <c r="G176" s="37"/>
      <c r="H176" s="37"/>
      <c r="I176" s="38" t="str">
        <f t="shared" ref="I176:AM176" si="55">IF(COLUMN()-8&lt;=DAY(EOMONTH($A$174,0)),CHOOSE(WEEKDAY($A$174+COLUMN()-9,2),"L","M","X","J","V","S","D"),"")</f>
        <v>L</v>
      </c>
      <c r="J176" s="38" t="str">
        <f t="shared" si="55"/>
        <v>M</v>
      </c>
      <c r="K176" s="38" t="str">
        <f t="shared" si="55"/>
        <v>X</v>
      </c>
      <c r="L176" s="38" t="str">
        <f t="shared" si="55"/>
        <v>J</v>
      </c>
      <c r="M176" s="38" t="str">
        <f t="shared" si="55"/>
        <v>V</v>
      </c>
      <c r="N176" s="38" t="str">
        <f t="shared" si="55"/>
        <v>S</v>
      </c>
      <c r="O176" s="38" t="str">
        <f t="shared" si="55"/>
        <v>D</v>
      </c>
      <c r="P176" s="38" t="str">
        <f t="shared" si="55"/>
        <v>L</v>
      </c>
      <c r="Q176" s="38" t="str">
        <f t="shared" si="55"/>
        <v>M</v>
      </c>
      <c r="R176" s="38" t="str">
        <f t="shared" si="55"/>
        <v>X</v>
      </c>
      <c r="S176" s="38" t="str">
        <f t="shared" si="55"/>
        <v>J</v>
      </c>
      <c r="T176" s="38" t="str">
        <f t="shared" si="55"/>
        <v>V</v>
      </c>
      <c r="U176" s="38" t="str">
        <f t="shared" si="55"/>
        <v>S</v>
      </c>
      <c r="V176" s="38" t="str">
        <f t="shared" si="55"/>
        <v>D</v>
      </c>
      <c r="W176" s="38" t="str">
        <f t="shared" si="55"/>
        <v>L</v>
      </c>
      <c r="X176" s="38" t="str">
        <f t="shared" si="55"/>
        <v>M</v>
      </c>
      <c r="Y176" s="38" t="str">
        <f t="shared" si="55"/>
        <v>X</v>
      </c>
      <c r="Z176" s="38" t="str">
        <f t="shared" si="55"/>
        <v>J</v>
      </c>
      <c r="AA176" s="38" t="str">
        <f t="shared" si="55"/>
        <v>V</v>
      </c>
      <c r="AB176" s="38" t="str">
        <f t="shared" si="55"/>
        <v>S</v>
      </c>
      <c r="AC176" s="38" t="str">
        <f t="shared" si="55"/>
        <v>D</v>
      </c>
      <c r="AD176" s="38" t="str">
        <f t="shared" si="55"/>
        <v>L</v>
      </c>
      <c r="AE176" s="38" t="str">
        <f t="shared" si="55"/>
        <v>M</v>
      </c>
      <c r="AF176" s="38" t="str">
        <f t="shared" si="55"/>
        <v>X</v>
      </c>
      <c r="AG176" s="38" t="str">
        <f t="shared" si="55"/>
        <v>J</v>
      </c>
      <c r="AH176" s="38" t="str">
        <f t="shared" si="55"/>
        <v>V</v>
      </c>
      <c r="AI176" s="38" t="str">
        <f t="shared" si="55"/>
        <v>S</v>
      </c>
      <c r="AJ176" s="38" t="str">
        <f t="shared" si="55"/>
        <v>D</v>
      </c>
      <c r="AK176" s="38" t="str">
        <f t="shared" si="55"/>
        <v>L</v>
      </c>
      <c r="AL176" s="38" t="str">
        <f t="shared" si="55"/>
        <v>M</v>
      </c>
      <c r="AM176" s="38" t="str">
        <f t="shared" si="55"/>
        <v>X</v>
      </c>
    </row>
    <row r="177" spans="1:39" hidden="1" outlineLevel="1" x14ac:dyDescent="0.2">
      <c r="A177" s="52" t="str">
        <f ca="1">IF(Residentes!A6="","",Residentes!C6)</f>
        <v>R4</v>
      </c>
      <c r="B177" s="43" t="str">
        <f>IF(Residentes!A6="","",Residentes!A6)</f>
        <v>Olatz Lopetegui</v>
      </c>
      <c r="C177" s="44">
        <f t="shared" ref="C177:C191" si="56">COUNTIF($I177:$AM177,"G")</f>
        <v>0</v>
      </c>
      <c r="D177" s="45">
        <f t="shared" ref="D177:D191" si="57">COUNTIF($I177:$AM177,"GF")</f>
        <v>0</v>
      </c>
      <c r="E177" s="45">
        <f t="shared" ref="E177:E191" si="58">COUNTIF($I177:$AM177,"GP")</f>
        <v>0</v>
      </c>
      <c r="F177" s="46">
        <f t="shared" ref="F177:F191" si="59">COUNTIF($I177:$AM177,"3P")</f>
        <v>0</v>
      </c>
      <c r="G177" s="47" cm="1">
        <f t="array" ref="G177">SUMPRODUCT((($I$176:$AM$176="S")+($I$176:$AM$176="D"))*(($I177:$AM177="G")+($I177:$AM177="GF")+($I177:$AM177="GP")))</f>
        <v>0</v>
      </c>
      <c r="H177" s="47" cm="1">
        <f t="array" ref="H177">SUMPRODUCT(($I$176:$AK$176="V")*(($I177:$AK177="G")+($I177:$AK177="GF")+($I177:$AK177="GP"))*(($K177:$AM177="G")+($K177:$AM177="GF")+($K177:$AM177="GP")))</f>
        <v>0</v>
      </c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</row>
    <row r="178" spans="1:39" hidden="1" outlineLevel="1" x14ac:dyDescent="0.2">
      <c r="A178" s="52" t="str">
        <f ca="1">IF(Residentes!A7="","",Residentes!C7)</f>
        <v>R4</v>
      </c>
      <c r="B178" s="43" t="str">
        <f>IF(Residentes!A7="","",Residentes!A7)</f>
        <v>Sarai Moliner</v>
      </c>
      <c r="C178" s="44">
        <f t="shared" si="56"/>
        <v>0</v>
      </c>
      <c r="D178" s="45">
        <f t="shared" si="57"/>
        <v>0</v>
      </c>
      <c r="E178" s="45">
        <f t="shared" si="58"/>
        <v>0</v>
      </c>
      <c r="F178" s="46">
        <f t="shared" si="59"/>
        <v>0</v>
      </c>
      <c r="G178" s="47" cm="1">
        <f t="array" ref="G178">SUMPRODUCT((($I$176:$AM$176="S")+($I$176:$AM$176="D"))*(($I178:$AM178="G")+($I178:$AM178="GF")+($I178:$AM178="GP")))</f>
        <v>0</v>
      </c>
      <c r="H178" s="47" cm="1">
        <f t="array" ref="H178">SUMPRODUCT(($I$176:$AK$176="V")*(($I178:$AK178="G")+($I178:$AK178="GF")+($I178:$AK178="GP"))*(($K178:$AM178="G")+($K178:$AM178="GF")+($K178:$AM178="GP")))</f>
        <v>0</v>
      </c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</row>
    <row r="179" spans="1:39" hidden="1" outlineLevel="1" x14ac:dyDescent="0.2">
      <c r="A179" s="52" t="str">
        <f ca="1">IF(Residentes!A8="","",Residentes!C8)</f>
        <v>R4</v>
      </c>
      <c r="B179" s="43" t="str">
        <f>IF(Residentes!A8="","",Residentes!A8)</f>
        <v>Rocío Cutillas</v>
      </c>
      <c r="C179" s="44">
        <f t="shared" si="56"/>
        <v>0</v>
      </c>
      <c r="D179" s="45">
        <f t="shared" si="57"/>
        <v>0</v>
      </c>
      <c r="E179" s="45">
        <f t="shared" si="58"/>
        <v>0</v>
      </c>
      <c r="F179" s="46">
        <f t="shared" si="59"/>
        <v>0</v>
      </c>
      <c r="G179" s="47" cm="1">
        <f t="array" ref="G179">SUMPRODUCT((($I$176:$AM$176="S")+($I$176:$AM$176="D"))*(($I179:$AM179="G")+($I179:$AM179="GF")+($I179:$AM179="GP")))</f>
        <v>0</v>
      </c>
      <c r="H179" s="47" cm="1">
        <f t="array" ref="H179">SUMPRODUCT(($I$176:$AK$176="V")*(($I179:$AK179="G")+($I179:$AK179="GF")+($I179:$AK179="GP"))*(($K179:$AM179="G")+($K179:$AM179="GF")+($K179:$AM179="GP")))</f>
        <v>0</v>
      </c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</row>
    <row r="180" spans="1:39" hidden="1" outlineLevel="1" x14ac:dyDescent="0.2">
      <c r="A180" s="52" t="str">
        <f ca="1">IF(Residentes!A9="","",Residentes!C9)</f>
        <v>R3</v>
      </c>
      <c r="B180" s="43" t="str">
        <f>IF(Residentes!A9="","",Residentes!A9)</f>
        <v>Emi Tumbarello</v>
      </c>
      <c r="C180" s="44">
        <f t="shared" si="56"/>
        <v>0</v>
      </c>
      <c r="D180" s="45">
        <f t="shared" si="57"/>
        <v>0</v>
      </c>
      <c r="E180" s="45">
        <f t="shared" si="58"/>
        <v>0</v>
      </c>
      <c r="F180" s="46">
        <f t="shared" si="59"/>
        <v>0</v>
      </c>
      <c r="G180" s="47" cm="1">
        <f t="array" ref="G180">SUMPRODUCT((($I$176:$AM$176="S")+($I$176:$AM$176="D"))*(($I180:$AM180="G")+($I180:$AM180="GF")+($I180:$AM180="GP")))</f>
        <v>0</v>
      </c>
      <c r="H180" s="47" cm="1">
        <f t="array" ref="H180">SUMPRODUCT(($I$176:$AK$176="V")*(($I180:$AK180="G")+($I180:$AK180="GF")+($I180:$AK180="GP"))*(($K180:$AM180="G")+($K180:$AM180="GF")+($K180:$AM180="GP")))</f>
        <v>0</v>
      </c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</row>
    <row r="181" spans="1:39" hidden="1" outlineLevel="1" x14ac:dyDescent="0.2">
      <c r="A181" s="52" t="str">
        <f ca="1">IF(Residentes!A10="","",Residentes!C10)</f>
        <v>R3</v>
      </c>
      <c r="B181" s="43" t="str">
        <f>IF(Residentes!A10="","",Residentes!A10)</f>
        <v>Teresa Mateo</v>
      </c>
      <c r="C181" s="44">
        <f t="shared" si="56"/>
        <v>0</v>
      </c>
      <c r="D181" s="45">
        <f t="shared" si="57"/>
        <v>0</v>
      </c>
      <c r="E181" s="45">
        <f t="shared" si="58"/>
        <v>0</v>
      </c>
      <c r="F181" s="46">
        <f t="shared" si="59"/>
        <v>0</v>
      </c>
      <c r="G181" s="47" cm="1">
        <f t="array" ref="G181">SUMPRODUCT((($I$176:$AM$176="S")+($I$176:$AM$176="D"))*(($I181:$AM181="G")+($I181:$AM181="GF")+($I181:$AM181="GP")))</f>
        <v>0</v>
      </c>
      <c r="H181" s="47" cm="1">
        <f t="array" ref="H181">SUMPRODUCT(($I$176:$AK$176="V")*(($I181:$AK181="G")+($I181:$AK181="GF")+($I181:$AK181="GP"))*(($K181:$AM181="G")+($K181:$AM181="GF")+($K181:$AM181="GP")))</f>
        <v>0</v>
      </c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</row>
    <row r="182" spans="1:39" hidden="1" outlineLevel="1" x14ac:dyDescent="0.2">
      <c r="A182" s="52" t="str">
        <f ca="1">IF(Residentes!A11="","",Residentes!C11)</f>
        <v>R3</v>
      </c>
      <c r="B182" s="43" t="str">
        <f>IF(Residentes!A11="","",Residentes!A11)</f>
        <v>Elena Sansano</v>
      </c>
      <c r="C182" s="44">
        <f t="shared" si="56"/>
        <v>0</v>
      </c>
      <c r="D182" s="45">
        <f t="shared" si="57"/>
        <v>0</v>
      </c>
      <c r="E182" s="45">
        <f t="shared" si="58"/>
        <v>0</v>
      </c>
      <c r="F182" s="46">
        <f t="shared" si="59"/>
        <v>0</v>
      </c>
      <c r="G182" s="47" cm="1">
        <f t="array" ref="G182">SUMPRODUCT((($I$176:$AM$176="S")+($I$176:$AM$176="D"))*(($I182:$AM182="G")+($I182:$AM182="GF")+($I182:$AM182="GP")))</f>
        <v>0</v>
      </c>
      <c r="H182" s="47" cm="1">
        <f t="array" ref="H182">SUMPRODUCT(($I$176:$AK$176="V")*(($I182:$AK182="G")+($I182:$AK182="GF")+($I182:$AK182="GP"))*(($K182:$AM182="G")+($K182:$AM182="GF")+($K182:$AM182="GP")))</f>
        <v>0</v>
      </c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</row>
    <row r="183" spans="1:39" hidden="1" outlineLevel="1" x14ac:dyDescent="0.2">
      <c r="A183" s="52" t="str">
        <f ca="1">IF(Residentes!A12="","",Residentes!C12)</f>
        <v>R3</v>
      </c>
      <c r="B183" s="43" t="str">
        <f>IF(Residentes!A12="","",Residentes!A12)</f>
        <v>Enrique Montiel</v>
      </c>
      <c r="C183" s="44">
        <f t="shared" si="56"/>
        <v>0</v>
      </c>
      <c r="D183" s="45">
        <f t="shared" si="57"/>
        <v>0</v>
      </c>
      <c r="E183" s="45">
        <f t="shared" si="58"/>
        <v>0</v>
      </c>
      <c r="F183" s="46">
        <f t="shared" si="59"/>
        <v>0</v>
      </c>
      <c r="G183" s="47" cm="1">
        <f t="array" ref="G183">SUMPRODUCT((($I$176:$AM$176="S")+($I$176:$AM$176="D"))*(($I183:$AM183="G")+($I183:$AM183="GF")+($I183:$AM183="GP")))</f>
        <v>0</v>
      </c>
      <c r="H183" s="47" cm="1">
        <f t="array" ref="H183">SUMPRODUCT(($I$176:$AK$176="V")*(($I183:$AK183="G")+($I183:$AK183="GF")+($I183:$AK183="GP"))*(($K183:$AM183="G")+($K183:$AM183="GF")+($K183:$AM183="GP")))</f>
        <v>0</v>
      </c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</row>
    <row r="184" spans="1:39" hidden="1" outlineLevel="1" x14ac:dyDescent="0.2">
      <c r="A184" s="52" t="str">
        <f ca="1">IF(Residentes!A13="","",Residentes!C13)</f>
        <v>R2</v>
      </c>
      <c r="B184" s="43" t="str">
        <f>IF(Residentes!A13="","",Residentes!A13)</f>
        <v>Fran Zomosa</v>
      </c>
      <c r="C184" s="44">
        <f t="shared" si="56"/>
        <v>0</v>
      </c>
      <c r="D184" s="45">
        <f t="shared" si="57"/>
        <v>0</v>
      </c>
      <c r="E184" s="45">
        <f t="shared" si="58"/>
        <v>0</v>
      </c>
      <c r="F184" s="46">
        <f t="shared" si="59"/>
        <v>0</v>
      </c>
      <c r="G184" s="47" cm="1">
        <f t="array" ref="G184">SUMPRODUCT((($I$176:$AM$176="S")+($I$176:$AM$176="D"))*(($I184:$AM184="G")+($I184:$AM184="GF")+($I184:$AM184="GP")))</f>
        <v>0</v>
      </c>
      <c r="H184" s="47" cm="1">
        <f t="array" ref="H184">SUMPRODUCT(($I$176:$AK$176="V")*(($I184:$AK184="G")+($I184:$AK184="GF")+($I184:$AK184="GP"))*(($K184:$AM184="G")+($K184:$AM184="GF")+($K184:$AM184="GP")))</f>
        <v>0</v>
      </c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</row>
    <row r="185" spans="1:39" hidden="1" outlineLevel="1" x14ac:dyDescent="0.2">
      <c r="A185" s="52" t="str">
        <f ca="1">IF(Residentes!A14="","",Residentes!C14)</f>
        <v>R2</v>
      </c>
      <c r="B185" s="43" t="str">
        <f>IF(Residentes!A14="","",Residentes!A14)</f>
        <v>Agus Lagioiosa</v>
      </c>
      <c r="C185" s="44">
        <f t="shared" si="56"/>
        <v>0</v>
      </c>
      <c r="D185" s="45">
        <f t="shared" si="57"/>
        <v>0</v>
      </c>
      <c r="E185" s="45">
        <f t="shared" si="58"/>
        <v>0</v>
      </c>
      <c r="F185" s="46">
        <f t="shared" si="59"/>
        <v>0</v>
      </c>
      <c r="G185" s="47" cm="1">
        <f t="array" ref="G185">SUMPRODUCT((($I$176:$AM$176="S")+($I$176:$AM$176="D"))*(($I185:$AM185="G")+($I185:$AM185="GF")+($I185:$AM185="GP")))</f>
        <v>0</v>
      </c>
      <c r="H185" s="47" cm="1">
        <f t="array" ref="H185">SUMPRODUCT(($I$176:$AK$176="V")*(($I185:$AK185="G")+($I185:$AK185="GF")+($I185:$AK185="GP"))*(($K185:$AM185="G")+($K185:$AM185="GF")+($K185:$AM185="GP")))</f>
        <v>0</v>
      </c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</row>
    <row r="186" spans="1:39" hidden="1" outlineLevel="1" x14ac:dyDescent="0.2">
      <c r="A186" s="52" t="str">
        <f ca="1">IF(Residentes!A15="","",Residentes!C15)</f>
        <v>R2</v>
      </c>
      <c r="B186" s="43" t="str">
        <f>IF(Residentes!A15="","",Residentes!A15)</f>
        <v>Elena Bonastre</v>
      </c>
      <c r="C186" s="44">
        <f t="shared" si="56"/>
        <v>0</v>
      </c>
      <c r="D186" s="45">
        <f t="shared" si="57"/>
        <v>0</v>
      </c>
      <c r="E186" s="45">
        <f t="shared" si="58"/>
        <v>0</v>
      </c>
      <c r="F186" s="46">
        <f t="shared" si="59"/>
        <v>0</v>
      </c>
      <c r="G186" s="47" cm="1">
        <f t="array" ref="G186">SUMPRODUCT((($I$176:$AM$176="S")+($I$176:$AM$176="D"))*(($I186:$AM186="G")+($I186:$AM186="GF")+($I186:$AM186="GP")))</f>
        <v>0</v>
      </c>
      <c r="H186" s="47" cm="1">
        <f t="array" ref="H186">SUMPRODUCT(($I$176:$AK$176="V")*(($I186:$AK186="G")+($I186:$AK186="GF")+($I186:$AK186="GP"))*(($K186:$AM186="G")+($K186:$AM186="GF")+($K186:$AM186="GP")))</f>
        <v>0</v>
      </c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</row>
    <row r="187" spans="1:39" hidden="1" outlineLevel="1" x14ac:dyDescent="0.2">
      <c r="A187" s="52" t="str">
        <f ca="1">IF(Residentes!A16="","",Residentes!C16)</f>
        <v>R2</v>
      </c>
      <c r="B187" s="43" t="str">
        <f>IF(Residentes!A16="","",Residentes!A16)</f>
        <v>María Armengol</v>
      </c>
      <c r="C187" s="44">
        <f t="shared" si="56"/>
        <v>0</v>
      </c>
      <c r="D187" s="45">
        <f t="shared" si="57"/>
        <v>0</v>
      </c>
      <c r="E187" s="45">
        <f t="shared" si="58"/>
        <v>0</v>
      </c>
      <c r="F187" s="46">
        <f t="shared" si="59"/>
        <v>0</v>
      </c>
      <c r="G187" s="47" cm="1">
        <f t="array" ref="G187">SUMPRODUCT((($I$176:$AM$176="S")+($I$176:$AM$176="D"))*(($I187:$AM187="G")+($I187:$AM187="GF")+($I187:$AM187="GP")))</f>
        <v>0</v>
      </c>
      <c r="H187" s="47" cm="1">
        <f t="array" ref="H187">SUMPRODUCT(($I$176:$AK$176="V")*(($I187:$AK187="G")+($I187:$AK187="GF")+($I187:$AK187="GP"))*(($K187:$AM187="G")+($K187:$AM187="GF")+($K187:$AM187="GP")))</f>
        <v>0</v>
      </c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</row>
    <row r="188" spans="1:39" hidden="1" outlineLevel="1" x14ac:dyDescent="0.2">
      <c r="A188" s="52" t="str">
        <f ca="1">IF(Residentes!A17="","",Residentes!C17)</f>
        <v>R1</v>
      </c>
      <c r="B188" s="43" t="str">
        <f>IF(Residentes!A17="","",Residentes!A17)</f>
        <v>Jaime Normand</v>
      </c>
      <c r="C188" s="44">
        <f t="shared" si="56"/>
        <v>0</v>
      </c>
      <c r="D188" s="45">
        <f t="shared" si="57"/>
        <v>0</v>
      </c>
      <c r="E188" s="45">
        <f t="shared" si="58"/>
        <v>0</v>
      </c>
      <c r="F188" s="46">
        <f t="shared" si="59"/>
        <v>0</v>
      </c>
      <c r="G188" s="47" cm="1">
        <f t="array" ref="G188">SUMPRODUCT((($I$176:$AM$176="S")+($I$176:$AM$176="D"))*(($I188:$AM188="G")+($I188:$AM188="GF")+($I188:$AM188="GP")))</f>
        <v>0</v>
      </c>
      <c r="H188" s="47" cm="1">
        <f t="array" ref="H188">SUMPRODUCT(($I$176:$AK$176="V")*(($I188:$AK188="G")+($I188:$AK188="GF")+($I188:$AK188="GP"))*(($K188:$AM188="G")+($K188:$AM188="GF")+($K188:$AM188="GP")))</f>
        <v>0</v>
      </c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</row>
    <row r="189" spans="1:39" hidden="1" outlineLevel="1" x14ac:dyDescent="0.2">
      <c r="A189" s="52" t="str">
        <f ca="1">IF(Residentes!A18="","",Residentes!C18)</f>
        <v>R1</v>
      </c>
      <c r="B189" s="43" t="str">
        <f>IF(Residentes!A18="","",Residentes!A18)</f>
        <v>Stephanie Aparicio</v>
      </c>
      <c r="C189" s="44">
        <f t="shared" si="56"/>
        <v>0</v>
      </c>
      <c r="D189" s="45">
        <f t="shared" si="57"/>
        <v>0</v>
      </c>
      <c r="E189" s="45">
        <f t="shared" si="58"/>
        <v>0</v>
      </c>
      <c r="F189" s="46">
        <f t="shared" si="59"/>
        <v>0</v>
      </c>
      <c r="G189" s="47" cm="1">
        <f t="array" ref="G189">SUMPRODUCT((($I$176:$AM$176="S")+($I$176:$AM$176="D"))*(($I189:$AM189="G")+($I189:$AM189="GF")+($I189:$AM189="GP")))</f>
        <v>0</v>
      </c>
      <c r="H189" s="47" cm="1">
        <f t="array" ref="H189">SUMPRODUCT(($I$176:$AK$176="V")*(($I189:$AK189="G")+($I189:$AK189="GF")+($I189:$AK189="GP"))*(($K189:$AM189="G")+($K189:$AM189="GF")+($K189:$AM189="GP")))</f>
        <v>0</v>
      </c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</row>
    <row r="190" spans="1:39" hidden="1" outlineLevel="1" x14ac:dyDescent="0.2">
      <c r="A190" s="52" t="str">
        <f ca="1">IF(Residentes!A19="","",Residentes!C19)</f>
        <v>R1</v>
      </c>
      <c r="B190" s="43" t="str">
        <f>IF(Residentes!A19="","",Residentes!A19)</f>
        <v>Marta Martínez</v>
      </c>
      <c r="C190" s="44">
        <f t="shared" si="56"/>
        <v>0</v>
      </c>
      <c r="D190" s="45">
        <f t="shared" si="57"/>
        <v>0</v>
      </c>
      <c r="E190" s="45">
        <f t="shared" si="58"/>
        <v>0</v>
      </c>
      <c r="F190" s="46">
        <f t="shared" si="59"/>
        <v>0</v>
      </c>
      <c r="G190" s="47" cm="1">
        <f t="array" ref="G190">SUMPRODUCT((($I$176:$AM$176="S")+($I$176:$AM$176="D"))*(($I190:$AM190="G")+($I190:$AM190="GF")+($I190:$AM190="GP")))</f>
        <v>0</v>
      </c>
      <c r="H190" s="47" cm="1">
        <f t="array" ref="H190">SUMPRODUCT(($I$176:$AK$176="V")*(($I190:$AK190="G")+($I190:$AK190="GF")+($I190:$AK190="GP"))*(($K190:$AM190="G")+($K190:$AM190="GF")+($K190:$AM190="GP")))</f>
        <v>0</v>
      </c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</row>
    <row r="191" spans="1:39" hidden="1" outlineLevel="1" x14ac:dyDescent="0.2">
      <c r="A191" s="52" t="str">
        <f ca="1">IF(Residentes!A20="","",Residentes!C20)</f>
        <v>R1</v>
      </c>
      <c r="B191" s="43" t="str">
        <f>IF(Residentes!A20="","",Residentes!A20)</f>
        <v>Manuel Cortés</v>
      </c>
      <c r="C191" s="44">
        <f t="shared" si="56"/>
        <v>0</v>
      </c>
      <c r="D191" s="45">
        <f t="shared" si="57"/>
        <v>0</v>
      </c>
      <c r="E191" s="45">
        <f t="shared" si="58"/>
        <v>0</v>
      </c>
      <c r="F191" s="46">
        <f t="shared" si="59"/>
        <v>0</v>
      </c>
      <c r="G191" s="47" cm="1">
        <f t="array" ref="G191">SUMPRODUCT((($I$176:$AM$176="S")+($I$176:$AM$176="D"))*(($I191:$AM191="G")+($I191:$AM191="GF")+($I191:$AM191="GP")))</f>
        <v>0</v>
      </c>
      <c r="H191" s="47" cm="1">
        <f t="array" ref="H191">SUMPRODUCT(($I$176:$AK$176="V")*(($I191:$AK191="G")+($I191:$AK191="GF")+($I191:$AK191="GP"))*(($K191:$AM191="G")+($K191:$AM191="GF")+($K191:$AM191="GP")))</f>
        <v>0</v>
      </c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</row>
    <row r="192" spans="1:39" collapsed="1" x14ac:dyDescent="0.2"/>
    <row r="193" spans="1:39" ht="20" customHeight="1" x14ac:dyDescent="0.2">
      <c r="A193" s="61">
        <v>46478</v>
      </c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</row>
    <row r="194" spans="1:39" ht="24" hidden="1" customHeight="1" outlineLevel="1" x14ac:dyDescent="0.2">
      <c r="A194" s="25" t="s">
        <v>9</v>
      </c>
      <c r="B194" s="25" t="s">
        <v>10</v>
      </c>
      <c r="C194" s="25" t="s">
        <v>11</v>
      </c>
      <c r="D194" s="25" t="s">
        <v>12</v>
      </c>
      <c r="E194" s="25" t="s">
        <v>109</v>
      </c>
      <c r="F194" s="25" t="s">
        <v>13</v>
      </c>
      <c r="G194" s="25" t="s">
        <v>14</v>
      </c>
      <c r="H194" s="25" t="s">
        <v>15</v>
      </c>
      <c r="I194" s="39">
        <f t="shared" ref="I194:AM194" si="60">IF(COLUMN()-8&lt;=DAY(EOMONTH($A$193,0)),COLUMN()-8,"")</f>
        <v>1</v>
      </c>
      <c r="J194" s="39">
        <f t="shared" si="60"/>
        <v>2</v>
      </c>
      <c r="K194" s="39">
        <f t="shared" si="60"/>
        <v>3</v>
      </c>
      <c r="L194" s="39">
        <f t="shared" si="60"/>
        <v>4</v>
      </c>
      <c r="M194" s="39">
        <f t="shared" si="60"/>
        <v>5</v>
      </c>
      <c r="N194" s="39">
        <f t="shared" si="60"/>
        <v>6</v>
      </c>
      <c r="O194" s="39">
        <f t="shared" si="60"/>
        <v>7</v>
      </c>
      <c r="P194" s="39">
        <f t="shared" si="60"/>
        <v>8</v>
      </c>
      <c r="Q194" s="39">
        <f t="shared" si="60"/>
        <v>9</v>
      </c>
      <c r="R194" s="39">
        <f t="shared" si="60"/>
        <v>10</v>
      </c>
      <c r="S194" s="39">
        <f t="shared" si="60"/>
        <v>11</v>
      </c>
      <c r="T194" s="39">
        <f t="shared" si="60"/>
        <v>12</v>
      </c>
      <c r="U194" s="39">
        <f t="shared" si="60"/>
        <v>13</v>
      </c>
      <c r="V194" s="39">
        <f t="shared" si="60"/>
        <v>14</v>
      </c>
      <c r="W194" s="39">
        <f t="shared" si="60"/>
        <v>15</v>
      </c>
      <c r="X194" s="39">
        <f t="shared" si="60"/>
        <v>16</v>
      </c>
      <c r="Y194" s="39">
        <f t="shared" si="60"/>
        <v>17</v>
      </c>
      <c r="Z194" s="39">
        <f t="shared" si="60"/>
        <v>18</v>
      </c>
      <c r="AA194" s="39">
        <f t="shared" si="60"/>
        <v>19</v>
      </c>
      <c r="AB194" s="39">
        <f t="shared" si="60"/>
        <v>20</v>
      </c>
      <c r="AC194" s="39">
        <f t="shared" si="60"/>
        <v>21</v>
      </c>
      <c r="AD194" s="39">
        <f t="shared" si="60"/>
        <v>22</v>
      </c>
      <c r="AE194" s="39">
        <f t="shared" si="60"/>
        <v>23</v>
      </c>
      <c r="AF194" s="39">
        <f t="shared" si="60"/>
        <v>24</v>
      </c>
      <c r="AG194" s="39">
        <f t="shared" si="60"/>
        <v>25</v>
      </c>
      <c r="AH194" s="39">
        <f t="shared" si="60"/>
        <v>26</v>
      </c>
      <c r="AI194" s="39">
        <f t="shared" si="60"/>
        <v>27</v>
      </c>
      <c r="AJ194" s="39">
        <f t="shared" si="60"/>
        <v>28</v>
      </c>
      <c r="AK194" s="39">
        <f t="shared" si="60"/>
        <v>29</v>
      </c>
      <c r="AL194" s="39">
        <f t="shared" si="60"/>
        <v>30</v>
      </c>
      <c r="AM194" s="39" t="str">
        <f t="shared" si="60"/>
        <v/>
      </c>
    </row>
    <row r="195" spans="1:39" hidden="1" outlineLevel="1" x14ac:dyDescent="0.2">
      <c r="A195" s="37"/>
      <c r="B195" s="37"/>
      <c r="C195" s="37"/>
      <c r="D195" s="37"/>
      <c r="E195" s="37"/>
      <c r="F195" s="37"/>
      <c r="G195" s="37"/>
      <c r="H195" s="37"/>
      <c r="I195" s="38" t="str">
        <f t="shared" ref="I195:AM195" si="61">IF(COLUMN()-8&lt;=DAY(EOMONTH($A$193,0)),CHOOSE(WEEKDAY($A$193+COLUMN()-9,2),"L","M","X","J","V","S","D"),"")</f>
        <v>J</v>
      </c>
      <c r="J195" s="38" t="str">
        <f t="shared" si="61"/>
        <v>V</v>
      </c>
      <c r="K195" s="38" t="str">
        <f t="shared" si="61"/>
        <v>S</v>
      </c>
      <c r="L195" s="38" t="str">
        <f t="shared" si="61"/>
        <v>D</v>
      </c>
      <c r="M195" s="38" t="str">
        <f t="shared" si="61"/>
        <v>L</v>
      </c>
      <c r="N195" s="38" t="str">
        <f t="shared" si="61"/>
        <v>M</v>
      </c>
      <c r="O195" s="38" t="str">
        <f t="shared" si="61"/>
        <v>X</v>
      </c>
      <c r="P195" s="38" t="str">
        <f t="shared" si="61"/>
        <v>J</v>
      </c>
      <c r="Q195" s="38" t="str">
        <f t="shared" si="61"/>
        <v>V</v>
      </c>
      <c r="R195" s="38" t="str">
        <f t="shared" si="61"/>
        <v>S</v>
      </c>
      <c r="S195" s="38" t="str">
        <f t="shared" si="61"/>
        <v>D</v>
      </c>
      <c r="T195" s="38" t="str">
        <f t="shared" si="61"/>
        <v>L</v>
      </c>
      <c r="U195" s="38" t="str">
        <f t="shared" si="61"/>
        <v>M</v>
      </c>
      <c r="V195" s="38" t="str">
        <f t="shared" si="61"/>
        <v>X</v>
      </c>
      <c r="W195" s="38" t="str">
        <f t="shared" si="61"/>
        <v>J</v>
      </c>
      <c r="X195" s="38" t="str">
        <f t="shared" si="61"/>
        <v>V</v>
      </c>
      <c r="Y195" s="38" t="str">
        <f t="shared" si="61"/>
        <v>S</v>
      </c>
      <c r="Z195" s="38" t="str">
        <f t="shared" si="61"/>
        <v>D</v>
      </c>
      <c r="AA195" s="38" t="str">
        <f t="shared" si="61"/>
        <v>L</v>
      </c>
      <c r="AB195" s="38" t="str">
        <f t="shared" si="61"/>
        <v>M</v>
      </c>
      <c r="AC195" s="38" t="str">
        <f t="shared" si="61"/>
        <v>X</v>
      </c>
      <c r="AD195" s="38" t="str">
        <f t="shared" si="61"/>
        <v>J</v>
      </c>
      <c r="AE195" s="38" t="str">
        <f t="shared" si="61"/>
        <v>V</v>
      </c>
      <c r="AF195" s="38" t="str">
        <f t="shared" si="61"/>
        <v>S</v>
      </c>
      <c r="AG195" s="38" t="str">
        <f t="shared" si="61"/>
        <v>D</v>
      </c>
      <c r="AH195" s="38" t="str">
        <f t="shared" si="61"/>
        <v>L</v>
      </c>
      <c r="AI195" s="38" t="str">
        <f t="shared" si="61"/>
        <v>M</v>
      </c>
      <c r="AJ195" s="38" t="str">
        <f t="shared" si="61"/>
        <v>X</v>
      </c>
      <c r="AK195" s="38" t="str">
        <f t="shared" si="61"/>
        <v>J</v>
      </c>
      <c r="AL195" s="38" t="str">
        <f t="shared" si="61"/>
        <v>V</v>
      </c>
      <c r="AM195" s="38" t="str">
        <f t="shared" si="61"/>
        <v/>
      </c>
    </row>
    <row r="196" spans="1:39" hidden="1" outlineLevel="1" x14ac:dyDescent="0.2">
      <c r="A196" s="52" t="str">
        <f ca="1">IF(Residentes!A6="","",Residentes!C6)</f>
        <v>R4</v>
      </c>
      <c r="B196" s="43" t="str">
        <f>IF(Residentes!A6="","",Residentes!A6)</f>
        <v>Olatz Lopetegui</v>
      </c>
      <c r="C196" s="44">
        <f t="shared" ref="C196:C210" si="62">COUNTIF($I196:$AM196,"G")</f>
        <v>0</v>
      </c>
      <c r="D196" s="45">
        <f t="shared" ref="D196:D210" si="63">COUNTIF($I196:$AM196,"GF")</f>
        <v>0</v>
      </c>
      <c r="E196" s="45">
        <f t="shared" ref="E196:E210" si="64">COUNTIF($I196:$AM196,"GP")</f>
        <v>0</v>
      </c>
      <c r="F196" s="46">
        <f t="shared" ref="F196:F210" si="65">COUNTIF($I196:$AM196,"3P")</f>
        <v>0</v>
      </c>
      <c r="G196" s="47" cm="1">
        <f t="array" ref="G196">SUMPRODUCT((($I$195:$AM$195="S")+($I$195:$AM$195="D"))*(($I196:$AM196="G")+($I196:$AM196="GF")+($I196:$AM196="GP")))</f>
        <v>0</v>
      </c>
      <c r="H196" s="47" cm="1">
        <f t="array" ref="H196">SUMPRODUCT(($I$195:$AK$195="V")*(($I196:$AK196="G")+($I196:$AK196="GF")+($I196:$AK196="GP"))*(($K196:$AM196="G")+($K196:$AM196="GF")+($K196:$AM196="GP")))</f>
        <v>0</v>
      </c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</row>
    <row r="197" spans="1:39" hidden="1" outlineLevel="1" x14ac:dyDescent="0.2">
      <c r="A197" s="52" t="str">
        <f ca="1">IF(Residentes!A7="","",Residentes!C7)</f>
        <v>R4</v>
      </c>
      <c r="B197" s="43" t="str">
        <f>IF(Residentes!A7="","",Residentes!A7)</f>
        <v>Sarai Moliner</v>
      </c>
      <c r="C197" s="44">
        <f t="shared" si="62"/>
        <v>0</v>
      </c>
      <c r="D197" s="45">
        <f t="shared" si="63"/>
        <v>0</v>
      </c>
      <c r="E197" s="45">
        <f t="shared" si="64"/>
        <v>0</v>
      </c>
      <c r="F197" s="46">
        <f t="shared" si="65"/>
        <v>0</v>
      </c>
      <c r="G197" s="47" cm="1">
        <f t="array" ref="G197">SUMPRODUCT((($I$195:$AM$195="S")+($I$195:$AM$195="D"))*(($I197:$AM197="G")+($I197:$AM197="GF")+($I197:$AM197="GP")))</f>
        <v>0</v>
      </c>
      <c r="H197" s="47" cm="1">
        <f t="array" ref="H197">SUMPRODUCT(($I$195:$AK$195="V")*(($I197:$AK197="G")+($I197:$AK197="GF")+($I197:$AK197="GP"))*(($K197:$AM197="G")+($K197:$AM197="GF")+($K197:$AM197="GP")))</f>
        <v>0</v>
      </c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</row>
    <row r="198" spans="1:39" hidden="1" outlineLevel="1" x14ac:dyDescent="0.2">
      <c r="A198" s="52" t="str">
        <f ca="1">IF(Residentes!A8="","",Residentes!C8)</f>
        <v>R4</v>
      </c>
      <c r="B198" s="43" t="str">
        <f>IF(Residentes!A8="","",Residentes!A8)</f>
        <v>Rocío Cutillas</v>
      </c>
      <c r="C198" s="44">
        <f t="shared" si="62"/>
        <v>0</v>
      </c>
      <c r="D198" s="45">
        <f t="shared" si="63"/>
        <v>0</v>
      </c>
      <c r="E198" s="45">
        <f t="shared" si="64"/>
        <v>0</v>
      </c>
      <c r="F198" s="46">
        <f t="shared" si="65"/>
        <v>0</v>
      </c>
      <c r="G198" s="47" cm="1">
        <f t="array" ref="G198">SUMPRODUCT((($I$195:$AM$195="S")+($I$195:$AM$195="D"))*(($I198:$AM198="G")+($I198:$AM198="GF")+($I198:$AM198="GP")))</f>
        <v>0</v>
      </c>
      <c r="H198" s="47" cm="1">
        <f t="array" ref="H198">SUMPRODUCT(($I$195:$AK$195="V")*(($I198:$AK198="G")+($I198:$AK198="GF")+($I198:$AK198="GP"))*(($K198:$AM198="G")+($K198:$AM198="GF")+($K198:$AM198="GP")))</f>
        <v>0</v>
      </c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</row>
    <row r="199" spans="1:39" hidden="1" outlineLevel="1" x14ac:dyDescent="0.2">
      <c r="A199" s="52" t="str">
        <f ca="1">IF(Residentes!A9="","",Residentes!C9)</f>
        <v>R3</v>
      </c>
      <c r="B199" s="43" t="str">
        <f>IF(Residentes!A9="","",Residentes!A9)</f>
        <v>Emi Tumbarello</v>
      </c>
      <c r="C199" s="44">
        <f t="shared" si="62"/>
        <v>0</v>
      </c>
      <c r="D199" s="45">
        <f t="shared" si="63"/>
        <v>0</v>
      </c>
      <c r="E199" s="45">
        <f t="shared" si="64"/>
        <v>0</v>
      </c>
      <c r="F199" s="46">
        <f t="shared" si="65"/>
        <v>0</v>
      </c>
      <c r="G199" s="47" cm="1">
        <f t="array" ref="G199">SUMPRODUCT((($I$195:$AM$195="S")+($I$195:$AM$195="D"))*(($I199:$AM199="G")+($I199:$AM199="GF")+($I199:$AM199="GP")))</f>
        <v>0</v>
      </c>
      <c r="H199" s="47" cm="1">
        <f t="array" ref="H199">SUMPRODUCT(($I$195:$AK$195="V")*(($I199:$AK199="G")+($I199:$AK199="GF")+($I199:$AK199="GP"))*(($K199:$AM199="G")+($K199:$AM199="GF")+($K199:$AM199="GP")))</f>
        <v>0</v>
      </c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</row>
    <row r="200" spans="1:39" hidden="1" outlineLevel="1" x14ac:dyDescent="0.2">
      <c r="A200" s="52" t="str">
        <f ca="1">IF(Residentes!A10="","",Residentes!C10)</f>
        <v>R3</v>
      </c>
      <c r="B200" s="43" t="str">
        <f>IF(Residentes!A10="","",Residentes!A10)</f>
        <v>Teresa Mateo</v>
      </c>
      <c r="C200" s="44">
        <f t="shared" si="62"/>
        <v>0</v>
      </c>
      <c r="D200" s="45">
        <f t="shared" si="63"/>
        <v>0</v>
      </c>
      <c r="E200" s="45">
        <f t="shared" si="64"/>
        <v>0</v>
      </c>
      <c r="F200" s="46">
        <f t="shared" si="65"/>
        <v>0</v>
      </c>
      <c r="G200" s="47" cm="1">
        <f t="array" ref="G200">SUMPRODUCT((($I$195:$AM$195="S")+($I$195:$AM$195="D"))*(($I200:$AM200="G")+($I200:$AM200="GF")+($I200:$AM200="GP")))</f>
        <v>0</v>
      </c>
      <c r="H200" s="47" cm="1">
        <f t="array" ref="H200">SUMPRODUCT(($I$195:$AK$195="V")*(($I200:$AK200="G")+($I200:$AK200="GF")+($I200:$AK200="GP"))*(($K200:$AM200="G")+($K200:$AM200="GF")+($K200:$AM200="GP")))</f>
        <v>0</v>
      </c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</row>
    <row r="201" spans="1:39" hidden="1" outlineLevel="1" x14ac:dyDescent="0.2">
      <c r="A201" s="52" t="str">
        <f ca="1">IF(Residentes!A11="","",Residentes!C11)</f>
        <v>R3</v>
      </c>
      <c r="B201" s="43" t="str">
        <f>IF(Residentes!A11="","",Residentes!A11)</f>
        <v>Elena Sansano</v>
      </c>
      <c r="C201" s="44">
        <f t="shared" si="62"/>
        <v>0</v>
      </c>
      <c r="D201" s="45">
        <f t="shared" si="63"/>
        <v>0</v>
      </c>
      <c r="E201" s="45">
        <f t="shared" si="64"/>
        <v>0</v>
      </c>
      <c r="F201" s="46">
        <f t="shared" si="65"/>
        <v>0</v>
      </c>
      <c r="G201" s="47" cm="1">
        <f t="array" ref="G201">SUMPRODUCT((($I$195:$AM$195="S")+($I$195:$AM$195="D"))*(($I201:$AM201="G")+($I201:$AM201="GF")+($I201:$AM201="GP")))</f>
        <v>0</v>
      </c>
      <c r="H201" s="47" cm="1">
        <f t="array" ref="H201">SUMPRODUCT(($I$195:$AK$195="V")*(($I201:$AK201="G")+($I201:$AK201="GF")+($I201:$AK201="GP"))*(($K201:$AM201="G")+($K201:$AM201="GF")+($K201:$AM201="GP")))</f>
        <v>0</v>
      </c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</row>
    <row r="202" spans="1:39" hidden="1" outlineLevel="1" x14ac:dyDescent="0.2">
      <c r="A202" s="52" t="str">
        <f ca="1">IF(Residentes!A12="","",Residentes!C12)</f>
        <v>R3</v>
      </c>
      <c r="B202" s="43" t="str">
        <f>IF(Residentes!A12="","",Residentes!A12)</f>
        <v>Enrique Montiel</v>
      </c>
      <c r="C202" s="44">
        <f t="shared" si="62"/>
        <v>0</v>
      </c>
      <c r="D202" s="45">
        <f t="shared" si="63"/>
        <v>0</v>
      </c>
      <c r="E202" s="45">
        <f t="shared" si="64"/>
        <v>0</v>
      </c>
      <c r="F202" s="46">
        <f t="shared" si="65"/>
        <v>0</v>
      </c>
      <c r="G202" s="47" cm="1">
        <f t="array" ref="G202">SUMPRODUCT((($I$195:$AM$195="S")+($I$195:$AM$195="D"))*(($I202:$AM202="G")+($I202:$AM202="GF")+($I202:$AM202="GP")))</f>
        <v>0</v>
      </c>
      <c r="H202" s="47" cm="1">
        <f t="array" ref="H202">SUMPRODUCT(($I$195:$AK$195="V")*(($I202:$AK202="G")+($I202:$AK202="GF")+($I202:$AK202="GP"))*(($K202:$AM202="G")+($K202:$AM202="GF")+($K202:$AM202="GP")))</f>
        <v>0</v>
      </c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</row>
    <row r="203" spans="1:39" hidden="1" outlineLevel="1" x14ac:dyDescent="0.2">
      <c r="A203" s="52" t="str">
        <f ca="1">IF(Residentes!A13="","",Residentes!C13)</f>
        <v>R2</v>
      </c>
      <c r="B203" s="43" t="str">
        <f>IF(Residentes!A13="","",Residentes!A13)</f>
        <v>Fran Zomosa</v>
      </c>
      <c r="C203" s="44">
        <f t="shared" si="62"/>
        <v>0</v>
      </c>
      <c r="D203" s="45">
        <f t="shared" si="63"/>
        <v>0</v>
      </c>
      <c r="E203" s="45">
        <f t="shared" si="64"/>
        <v>0</v>
      </c>
      <c r="F203" s="46">
        <f t="shared" si="65"/>
        <v>0</v>
      </c>
      <c r="G203" s="47" cm="1">
        <f t="array" ref="G203">SUMPRODUCT((($I$195:$AM$195="S")+($I$195:$AM$195="D"))*(($I203:$AM203="G")+($I203:$AM203="GF")+($I203:$AM203="GP")))</f>
        <v>0</v>
      </c>
      <c r="H203" s="47" cm="1">
        <f t="array" ref="H203">SUMPRODUCT(($I$195:$AK$195="V")*(($I203:$AK203="G")+($I203:$AK203="GF")+($I203:$AK203="GP"))*(($K203:$AM203="G")+($K203:$AM203="GF")+($K203:$AM203="GP")))</f>
        <v>0</v>
      </c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</row>
    <row r="204" spans="1:39" hidden="1" outlineLevel="1" x14ac:dyDescent="0.2">
      <c r="A204" s="52" t="str">
        <f ca="1">IF(Residentes!A14="","",Residentes!C14)</f>
        <v>R2</v>
      </c>
      <c r="B204" s="43" t="str">
        <f>IF(Residentes!A14="","",Residentes!A14)</f>
        <v>Agus Lagioiosa</v>
      </c>
      <c r="C204" s="44">
        <f t="shared" si="62"/>
        <v>0</v>
      </c>
      <c r="D204" s="45">
        <f t="shared" si="63"/>
        <v>0</v>
      </c>
      <c r="E204" s="45">
        <f t="shared" si="64"/>
        <v>0</v>
      </c>
      <c r="F204" s="46">
        <f t="shared" si="65"/>
        <v>0</v>
      </c>
      <c r="G204" s="47" cm="1">
        <f t="array" ref="G204">SUMPRODUCT((($I$195:$AM$195="S")+($I$195:$AM$195="D"))*(($I204:$AM204="G")+($I204:$AM204="GF")+($I204:$AM204="GP")))</f>
        <v>0</v>
      </c>
      <c r="H204" s="47" cm="1">
        <f t="array" ref="H204">SUMPRODUCT(($I$195:$AK$195="V")*(($I204:$AK204="G")+($I204:$AK204="GF")+($I204:$AK204="GP"))*(($K204:$AM204="G")+($K204:$AM204="GF")+($K204:$AM204="GP")))</f>
        <v>0</v>
      </c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</row>
    <row r="205" spans="1:39" hidden="1" outlineLevel="1" x14ac:dyDescent="0.2">
      <c r="A205" s="52" t="str">
        <f ca="1">IF(Residentes!A15="","",Residentes!C15)</f>
        <v>R2</v>
      </c>
      <c r="B205" s="43" t="str">
        <f>IF(Residentes!A15="","",Residentes!A15)</f>
        <v>Elena Bonastre</v>
      </c>
      <c r="C205" s="44">
        <f t="shared" si="62"/>
        <v>0</v>
      </c>
      <c r="D205" s="45">
        <f t="shared" si="63"/>
        <v>0</v>
      </c>
      <c r="E205" s="45">
        <f t="shared" si="64"/>
        <v>0</v>
      </c>
      <c r="F205" s="46">
        <f t="shared" si="65"/>
        <v>0</v>
      </c>
      <c r="G205" s="47" cm="1">
        <f t="array" ref="G205">SUMPRODUCT((($I$195:$AM$195="S")+($I$195:$AM$195="D"))*(($I205:$AM205="G")+($I205:$AM205="GF")+($I205:$AM205="GP")))</f>
        <v>0</v>
      </c>
      <c r="H205" s="47" cm="1">
        <f t="array" ref="H205">SUMPRODUCT(($I$195:$AK$195="V")*(($I205:$AK205="G")+($I205:$AK205="GF")+($I205:$AK205="GP"))*(($K205:$AM205="G")+($K205:$AM205="GF")+($K205:$AM205="GP")))</f>
        <v>0</v>
      </c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</row>
    <row r="206" spans="1:39" hidden="1" outlineLevel="1" x14ac:dyDescent="0.2">
      <c r="A206" s="52" t="str">
        <f ca="1">IF(Residentes!A16="","",Residentes!C16)</f>
        <v>R2</v>
      </c>
      <c r="B206" s="43" t="str">
        <f>IF(Residentes!A16="","",Residentes!A16)</f>
        <v>María Armengol</v>
      </c>
      <c r="C206" s="44">
        <f t="shared" si="62"/>
        <v>0</v>
      </c>
      <c r="D206" s="45">
        <f t="shared" si="63"/>
        <v>0</v>
      </c>
      <c r="E206" s="45">
        <f t="shared" si="64"/>
        <v>0</v>
      </c>
      <c r="F206" s="46">
        <f t="shared" si="65"/>
        <v>0</v>
      </c>
      <c r="G206" s="47" cm="1">
        <f t="array" ref="G206">SUMPRODUCT((($I$195:$AM$195="S")+($I$195:$AM$195="D"))*(($I206:$AM206="G")+($I206:$AM206="GF")+($I206:$AM206="GP")))</f>
        <v>0</v>
      </c>
      <c r="H206" s="47" cm="1">
        <f t="array" ref="H206">SUMPRODUCT(($I$195:$AK$195="V")*(($I206:$AK206="G")+($I206:$AK206="GF")+($I206:$AK206="GP"))*(($K206:$AM206="G")+($K206:$AM206="GF")+($K206:$AM206="GP")))</f>
        <v>0</v>
      </c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</row>
    <row r="207" spans="1:39" hidden="1" outlineLevel="1" x14ac:dyDescent="0.2">
      <c r="A207" s="52" t="str">
        <f ca="1">IF(Residentes!A17="","",Residentes!C17)</f>
        <v>R1</v>
      </c>
      <c r="B207" s="43" t="str">
        <f>IF(Residentes!A17="","",Residentes!A17)</f>
        <v>Jaime Normand</v>
      </c>
      <c r="C207" s="44">
        <f t="shared" si="62"/>
        <v>0</v>
      </c>
      <c r="D207" s="45">
        <f t="shared" si="63"/>
        <v>0</v>
      </c>
      <c r="E207" s="45">
        <f t="shared" si="64"/>
        <v>0</v>
      </c>
      <c r="F207" s="46">
        <f t="shared" si="65"/>
        <v>0</v>
      </c>
      <c r="G207" s="47" cm="1">
        <f t="array" ref="G207">SUMPRODUCT((($I$195:$AM$195="S")+($I$195:$AM$195="D"))*(($I207:$AM207="G")+($I207:$AM207="GF")+($I207:$AM207="GP")))</f>
        <v>0</v>
      </c>
      <c r="H207" s="47" cm="1">
        <f t="array" ref="H207">SUMPRODUCT(($I$195:$AK$195="V")*(($I207:$AK207="G")+($I207:$AK207="GF")+($I207:$AK207="GP"))*(($K207:$AM207="G")+($K207:$AM207="GF")+($K207:$AM207="GP")))</f>
        <v>0</v>
      </c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</row>
    <row r="208" spans="1:39" hidden="1" outlineLevel="1" x14ac:dyDescent="0.2">
      <c r="A208" s="52" t="str">
        <f ca="1">IF(Residentes!A18="","",Residentes!C18)</f>
        <v>R1</v>
      </c>
      <c r="B208" s="43" t="str">
        <f>IF(Residentes!A18="","",Residentes!A18)</f>
        <v>Stephanie Aparicio</v>
      </c>
      <c r="C208" s="44">
        <f t="shared" si="62"/>
        <v>0</v>
      </c>
      <c r="D208" s="45">
        <f t="shared" si="63"/>
        <v>0</v>
      </c>
      <c r="E208" s="45">
        <f t="shared" si="64"/>
        <v>0</v>
      </c>
      <c r="F208" s="46">
        <f t="shared" si="65"/>
        <v>0</v>
      </c>
      <c r="G208" s="47" cm="1">
        <f t="array" ref="G208">SUMPRODUCT((($I$195:$AM$195="S")+($I$195:$AM$195="D"))*(($I208:$AM208="G")+($I208:$AM208="GF")+($I208:$AM208="GP")))</f>
        <v>0</v>
      </c>
      <c r="H208" s="47" cm="1">
        <f t="array" ref="H208">SUMPRODUCT(($I$195:$AK$195="V")*(($I208:$AK208="G")+($I208:$AK208="GF")+($I208:$AK208="GP"))*(($K208:$AM208="G")+($K208:$AM208="GF")+($K208:$AM208="GP")))</f>
        <v>0</v>
      </c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</row>
    <row r="209" spans="1:39" hidden="1" outlineLevel="1" x14ac:dyDescent="0.2">
      <c r="A209" s="52" t="str">
        <f ca="1">IF(Residentes!A19="","",Residentes!C19)</f>
        <v>R1</v>
      </c>
      <c r="B209" s="43" t="str">
        <f>IF(Residentes!A19="","",Residentes!A19)</f>
        <v>Marta Martínez</v>
      </c>
      <c r="C209" s="44">
        <f t="shared" si="62"/>
        <v>0</v>
      </c>
      <c r="D209" s="45">
        <f t="shared" si="63"/>
        <v>0</v>
      </c>
      <c r="E209" s="45">
        <f t="shared" si="64"/>
        <v>0</v>
      </c>
      <c r="F209" s="46">
        <f t="shared" si="65"/>
        <v>0</v>
      </c>
      <c r="G209" s="47" cm="1">
        <f t="array" ref="G209">SUMPRODUCT((($I$195:$AM$195="S")+($I$195:$AM$195="D"))*(($I209:$AM209="G")+($I209:$AM209="GF")+($I209:$AM209="GP")))</f>
        <v>0</v>
      </c>
      <c r="H209" s="47" cm="1">
        <f t="array" ref="H209">SUMPRODUCT(($I$195:$AK$195="V")*(($I209:$AK209="G")+($I209:$AK209="GF")+($I209:$AK209="GP"))*(($K209:$AM209="G")+($K209:$AM209="GF")+($K209:$AM209="GP")))</f>
        <v>0</v>
      </c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</row>
    <row r="210" spans="1:39" hidden="1" outlineLevel="1" x14ac:dyDescent="0.2">
      <c r="A210" s="52" t="str">
        <f ca="1">IF(Residentes!A20="","",Residentes!C20)</f>
        <v>R1</v>
      </c>
      <c r="B210" s="43" t="str">
        <f>IF(Residentes!A20="","",Residentes!A20)</f>
        <v>Manuel Cortés</v>
      </c>
      <c r="C210" s="44">
        <f t="shared" si="62"/>
        <v>0</v>
      </c>
      <c r="D210" s="45">
        <f t="shared" si="63"/>
        <v>0</v>
      </c>
      <c r="E210" s="45">
        <f t="shared" si="64"/>
        <v>0</v>
      </c>
      <c r="F210" s="46">
        <f t="shared" si="65"/>
        <v>0</v>
      </c>
      <c r="G210" s="47" cm="1">
        <f t="array" ref="G210">SUMPRODUCT((($I$195:$AM$195="S")+($I$195:$AM$195="D"))*(($I210:$AM210="G")+($I210:$AM210="GF")+($I210:$AM210="GP")))</f>
        <v>0</v>
      </c>
      <c r="H210" s="47" cm="1">
        <f t="array" ref="H210">SUMPRODUCT(($I$195:$AK$195="V")*(($I210:$AK210="G")+($I210:$AK210="GF")+($I210:$AK210="GP"))*(($K210:$AM210="G")+($K210:$AM210="GF")+($K210:$AM210="GP")))</f>
        <v>0</v>
      </c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</row>
    <row r="211" spans="1:39" collapsed="1" x14ac:dyDescent="0.2"/>
    <row r="212" spans="1:39" ht="20" customHeight="1" x14ac:dyDescent="0.2">
      <c r="A212" s="61">
        <v>46508</v>
      </c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</row>
    <row r="213" spans="1:39" ht="24" hidden="1" customHeight="1" outlineLevel="1" x14ac:dyDescent="0.2">
      <c r="A213" s="25" t="s">
        <v>9</v>
      </c>
      <c r="B213" s="25" t="s">
        <v>10</v>
      </c>
      <c r="C213" s="25" t="s">
        <v>11</v>
      </c>
      <c r="D213" s="25" t="s">
        <v>12</v>
      </c>
      <c r="E213" s="25" t="s">
        <v>109</v>
      </c>
      <c r="F213" s="25" t="s">
        <v>13</v>
      </c>
      <c r="G213" s="25" t="s">
        <v>14</v>
      </c>
      <c r="H213" s="25" t="s">
        <v>15</v>
      </c>
      <c r="I213" s="39">
        <f t="shared" ref="I213:AM213" si="66">IF(COLUMN()-8&lt;=DAY(EOMONTH($A$212,0)),COLUMN()-8,"")</f>
        <v>1</v>
      </c>
      <c r="J213" s="39">
        <f t="shared" si="66"/>
        <v>2</v>
      </c>
      <c r="K213" s="39">
        <f t="shared" si="66"/>
        <v>3</v>
      </c>
      <c r="L213" s="39">
        <f t="shared" si="66"/>
        <v>4</v>
      </c>
      <c r="M213" s="39">
        <f t="shared" si="66"/>
        <v>5</v>
      </c>
      <c r="N213" s="39">
        <f t="shared" si="66"/>
        <v>6</v>
      </c>
      <c r="O213" s="39">
        <f t="shared" si="66"/>
        <v>7</v>
      </c>
      <c r="P213" s="39">
        <f t="shared" si="66"/>
        <v>8</v>
      </c>
      <c r="Q213" s="39">
        <f t="shared" si="66"/>
        <v>9</v>
      </c>
      <c r="R213" s="39">
        <f t="shared" si="66"/>
        <v>10</v>
      </c>
      <c r="S213" s="39">
        <f t="shared" si="66"/>
        <v>11</v>
      </c>
      <c r="T213" s="39">
        <f t="shared" si="66"/>
        <v>12</v>
      </c>
      <c r="U213" s="39">
        <f t="shared" si="66"/>
        <v>13</v>
      </c>
      <c r="V213" s="39">
        <f t="shared" si="66"/>
        <v>14</v>
      </c>
      <c r="W213" s="39">
        <f t="shared" si="66"/>
        <v>15</v>
      </c>
      <c r="X213" s="39">
        <f t="shared" si="66"/>
        <v>16</v>
      </c>
      <c r="Y213" s="39">
        <f t="shared" si="66"/>
        <v>17</v>
      </c>
      <c r="Z213" s="39">
        <f t="shared" si="66"/>
        <v>18</v>
      </c>
      <c r="AA213" s="39">
        <f t="shared" si="66"/>
        <v>19</v>
      </c>
      <c r="AB213" s="39">
        <f t="shared" si="66"/>
        <v>20</v>
      </c>
      <c r="AC213" s="39">
        <f t="shared" si="66"/>
        <v>21</v>
      </c>
      <c r="AD213" s="39">
        <f t="shared" si="66"/>
        <v>22</v>
      </c>
      <c r="AE213" s="39">
        <f t="shared" si="66"/>
        <v>23</v>
      </c>
      <c r="AF213" s="39">
        <f t="shared" si="66"/>
        <v>24</v>
      </c>
      <c r="AG213" s="39">
        <f t="shared" si="66"/>
        <v>25</v>
      </c>
      <c r="AH213" s="39">
        <f t="shared" si="66"/>
        <v>26</v>
      </c>
      <c r="AI213" s="39">
        <f t="shared" si="66"/>
        <v>27</v>
      </c>
      <c r="AJ213" s="39">
        <f t="shared" si="66"/>
        <v>28</v>
      </c>
      <c r="AK213" s="39">
        <f t="shared" si="66"/>
        <v>29</v>
      </c>
      <c r="AL213" s="39">
        <f t="shared" si="66"/>
        <v>30</v>
      </c>
      <c r="AM213" s="39">
        <f t="shared" si="66"/>
        <v>31</v>
      </c>
    </row>
    <row r="214" spans="1:39" hidden="1" outlineLevel="1" x14ac:dyDescent="0.2">
      <c r="A214" s="37"/>
      <c r="B214" s="37"/>
      <c r="C214" s="37"/>
      <c r="D214" s="37"/>
      <c r="E214" s="37"/>
      <c r="F214" s="37"/>
      <c r="G214" s="37"/>
      <c r="H214" s="37"/>
      <c r="I214" s="38" t="str">
        <f t="shared" ref="I214:AM214" si="67">IF(COLUMN()-8&lt;=DAY(EOMONTH($A$212,0)),CHOOSE(WEEKDAY($A$212+COLUMN()-9,2),"L","M","X","J","V","S","D"),"")</f>
        <v>S</v>
      </c>
      <c r="J214" s="38" t="str">
        <f t="shared" si="67"/>
        <v>D</v>
      </c>
      <c r="K214" s="38" t="str">
        <f t="shared" si="67"/>
        <v>L</v>
      </c>
      <c r="L214" s="38" t="str">
        <f t="shared" si="67"/>
        <v>M</v>
      </c>
      <c r="M214" s="38" t="str">
        <f t="shared" si="67"/>
        <v>X</v>
      </c>
      <c r="N214" s="38" t="str">
        <f t="shared" si="67"/>
        <v>J</v>
      </c>
      <c r="O214" s="38" t="str">
        <f t="shared" si="67"/>
        <v>V</v>
      </c>
      <c r="P214" s="38" t="str">
        <f t="shared" si="67"/>
        <v>S</v>
      </c>
      <c r="Q214" s="38" t="str">
        <f t="shared" si="67"/>
        <v>D</v>
      </c>
      <c r="R214" s="38" t="str">
        <f t="shared" si="67"/>
        <v>L</v>
      </c>
      <c r="S214" s="38" t="str">
        <f t="shared" si="67"/>
        <v>M</v>
      </c>
      <c r="T214" s="38" t="str">
        <f t="shared" si="67"/>
        <v>X</v>
      </c>
      <c r="U214" s="38" t="str">
        <f t="shared" si="67"/>
        <v>J</v>
      </c>
      <c r="V214" s="38" t="str">
        <f t="shared" si="67"/>
        <v>V</v>
      </c>
      <c r="W214" s="38" t="str">
        <f t="shared" si="67"/>
        <v>S</v>
      </c>
      <c r="X214" s="38" t="str">
        <f t="shared" si="67"/>
        <v>D</v>
      </c>
      <c r="Y214" s="38" t="str">
        <f t="shared" si="67"/>
        <v>L</v>
      </c>
      <c r="Z214" s="38" t="str">
        <f t="shared" si="67"/>
        <v>M</v>
      </c>
      <c r="AA214" s="38" t="str">
        <f t="shared" si="67"/>
        <v>X</v>
      </c>
      <c r="AB214" s="38" t="str">
        <f t="shared" si="67"/>
        <v>J</v>
      </c>
      <c r="AC214" s="38" t="str">
        <f t="shared" si="67"/>
        <v>V</v>
      </c>
      <c r="AD214" s="38" t="str">
        <f t="shared" si="67"/>
        <v>S</v>
      </c>
      <c r="AE214" s="38" t="str">
        <f t="shared" si="67"/>
        <v>D</v>
      </c>
      <c r="AF214" s="38" t="str">
        <f t="shared" si="67"/>
        <v>L</v>
      </c>
      <c r="AG214" s="38" t="str">
        <f t="shared" si="67"/>
        <v>M</v>
      </c>
      <c r="AH214" s="38" t="str">
        <f t="shared" si="67"/>
        <v>X</v>
      </c>
      <c r="AI214" s="38" t="str">
        <f t="shared" si="67"/>
        <v>J</v>
      </c>
      <c r="AJ214" s="38" t="str">
        <f t="shared" si="67"/>
        <v>V</v>
      </c>
      <c r="AK214" s="38" t="str">
        <f t="shared" si="67"/>
        <v>S</v>
      </c>
      <c r="AL214" s="38" t="str">
        <f t="shared" si="67"/>
        <v>D</v>
      </c>
      <c r="AM214" s="38" t="str">
        <f t="shared" si="67"/>
        <v>L</v>
      </c>
    </row>
    <row r="215" spans="1:39" hidden="1" outlineLevel="1" x14ac:dyDescent="0.2">
      <c r="A215" s="52" t="str">
        <f ca="1">IF(Residentes!A6="","",Residentes!C6)</f>
        <v>R4</v>
      </c>
      <c r="B215" s="43" t="str">
        <f>IF(Residentes!A6="","",Residentes!A6)</f>
        <v>Olatz Lopetegui</v>
      </c>
      <c r="C215" s="44">
        <f t="shared" ref="C215:C229" si="68">COUNTIF($I215:$AM215,"G")</f>
        <v>0</v>
      </c>
      <c r="D215" s="45">
        <f t="shared" ref="D215:D229" si="69">COUNTIF($I215:$AM215,"GF")</f>
        <v>0</v>
      </c>
      <c r="E215" s="45">
        <f t="shared" ref="E215:E229" si="70">COUNTIF($I215:$AM215,"GP")</f>
        <v>0</v>
      </c>
      <c r="F215" s="46">
        <f t="shared" ref="F215:F229" si="71">COUNTIF($I215:$AM215,"3P")</f>
        <v>0</v>
      </c>
      <c r="G215" s="47" cm="1">
        <f t="array" ref="G215">SUMPRODUCT((($I$214:$AM$214="S")+($I$214:$AM$214="D"))*(($I215:$AM215="G")+($I215:$AM215="GF")+($I215:$AM215="GP")))</f>
        <v>0</v>
      </c>
      <c r="H215" s="47" cm="1">
        <f t="array" ref="H215">SUMPRODUCT(($I$214:$AK$214="V")*(($I215:$AK215="G")+($I215:$AK215="GF")+($I215:$AK215="GP"))*(($K215:$AM215="G")+($K215:$AM215="GF")+($K215:$AM215="GP")))</f>
        <v>0</v>
      </c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</row>
    <row r="216" spans="1:39" hidden="1" outlineLevel="1" x14ac:dyDescent="0.2">
      <c r="A216" s="52" t="str">
        <f ca="1">IF(Residentes!A7="","",Residentes!C7)</f>
        <v>R4</v>
      </c>
      <c r="B216" s="43" t="str">
        <f>IF(Residentes!A7="","",Residentes!A7)</f>
        <v>Sarai Moliner</v>
      </c>
      <c r="C216" s="44">
        <f t="shared" si="68"/>
        <v>0</v>
      </c>
      <c r="D216" s="45">
        <f t="shared" si="69"/>
        <v>0</v>
      </c>
      <c r="E216" s="45">
        <f t="shared" si="70"/>
        <v>0</v>
      </c>
      <c r="F216" s="46">
        <f t="shared" si="71"/>
        <v>0</v>
      </c>
      <c r="G216" s="47" cm="1">
        <f t="array" ref="G216">SUMPRODUCT((($I$214:$AM$214="S")+($I$214:$AM$214="D"))*(($I216:$AM216="G")+($I216:$AM216="GF")+($I216:$AM216="GP")))</f>
        <v>0</v>
      </c>
      <c r="H216" s="47" cm="1">
        <f t="array" ref="H216">SUMPRODUCT(($I$214:$AK$214="V")*(($I216:$AK216="G")+($I216:$AK216="GF")+($I216:$AK216="GP"))*(($K216:$AM216="G")+($K216:$AM216="GF")+($K216:$AM216="GP")))</f>
        <v>0</v>
      </c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</row>
    <row r="217" spans="1:39" hidden="1" outlineLevel="1" x14ac:dyDescent="0.2">
      <c r="A217" s="52" t="str">
        <f ca="1">IF(Residentes!A8="","",Residentes!C8)</f>
        <v>R4</v>
      </c>
      <c r="B217" s="43" t="str">
        <f>IF(Residentes!A8="","",Residentes!A8)</f>
        <v>Rocío Cutillas</v>
      </c>
      <c r="C217" s="44">
        <f t="shared" si="68"/>
        <v>0</v>
      </c>
      <c r="D217" s="45">
        <f t="shared" si="69"/>
        <v>0</v>
      </c>
      <c r="E217" s="45">
        <f t="shared" si="70"/>
        <v>0</v>
      </c>
      <c r="F217" s="46">
        <f t="shared" si="71"/>
        <v>0</v>
      </c>
      <c r="G217" s="47" cm="1">
        <f t="array" ref="G217">SUMPRODUCT((($I$214:$AM$214="S")+($I$214:$AM$214="D"))*(($I217:$AM217="G")+($I217:$AM217="GF")+($I217:$AM217="GP")))</f>
        <v>0</v>
      </c>
      <c r="H217" s="47" cm="1">
        <f t="array" ref="H217">SUMPRODUCT(($I$214:$AK$214="V")*(($I217:$AK217="G")+($I217:$AK217="GF")+($I217:$AK217="GP"))*(($K217:$AM217="G")+($K217:$AM217="GF")+($K217:$AM217="GP")))</f>
        <v>0</v>
      </c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</row>
    <row r="218" spans="1:39" hidden="1" outlineLevel="1" x14ac:dyDescent="0.2">
      <c r="A218" s="52" t="str">
        <f ca="1">IF(Residentes!A9="","",Residentes!C9)</f>
        <v>R3</v>
      </c>
      <c r="B218" s="43" t="str">
        <f>IF(Residentes!A9="","",Residentes!A9)</f>
        <v>Emi Tumbarello</v>
      </c>
      <c r="C218" s="44">
        <f t="shared" si="68"/>
        <v>0</v>
      </c>
      <c r="D218" s="45">
        <f t="shared" si="69"/>
        <v>0</v>
      </c>
      <c r="E218" s="45">
        <f t="shared" si="70"/>
        <v>0</v>
      </c>
      <c r="F218" s="46">
        <f t="shared" si="71"/>
        <v>0</v>
      </c>
      <c r="G218" s="47" cm="1">
        <f t="array" ref="G218">SUMPRODUCT((($I$214:$AM$214="S")+($I$214:$AM$214="D"))*(($I218:$AM218="G")+($I218:$AM218="GF")+($I218:$AM218="GP")))</f>
        <v>0</v>
      </c>
      <c r="H218" s="47" cm="1">
        <f t="array" ref="H218">SUMPRODUCT(($I$214:$AK$214="V")*(($I218:$AK218="G")+($I218:$AK218="GF")+($I218:$AK218="GP"))*(($K218:$AM218="G")+($K218:$AM218="GF")+($K218:$AM218="GP")))</f>
        <v>0</v>
      </c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</row>
    <row r="219" spans="1:39" hidden="1" outlineLevel="1" x14ac:dyDescent="0.2">
      <c r="A219" s="52" t="str">
        <f ca="1">IF(Residentes!A10="","",Residentes!C10)</f>
        <v>R3</v>
      </c>
      <c r="B219" s="43" t="str">
        <f>IF(Residentes!A10="","",Residentes!A10)</f>
        <v>Teresa Mateo</v>
      </c>
      <c r="C219" s="44">
        <f t="shared" si="68"/>
        <v>0</v>
      </c>
      <c r="D219" s="45">
        <f t="shared" si="69"/>
        <v>0</v>
      </c>
      <c r="E219" s="45">
        <f t="shared" si="70"/>
        <v>0</v>
      </c>
      <c r="F219" s="46">
        <f t="shared" si="71"/>
        <v>0</v>
      </c>
      <c r="G219" s="47" cm="1">
        <f t="array" ref="G219">SUMPRODUCT((($I$214:$AM$214="S")+($I$214:$AM$214="D"))*(($I219:$AM219="G")+($I219:$AM219="GF")+($I219:$AM219="GP")))</f>
        <v>0</v>
      </c>
      <c r="H219" s="47" cm="1">
        <f t="array" ref="H219">SUMPRODUCT(($I$214:$AK$214="V")*(($I219:$AK219="G")+($I219:$AK219="GF")+($I219:$AK219="GP"))*(($K219:$AM219="G")+($K219:$AM219="GF")+($K219:$AM219="GP")))</f>
        <v>0</v>
      </c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</row>
    <row r="220" spans="1:39" hidden="1" outlineLevel="1" x14ac:dyDescent="0.2">
      <c r="A220" s="52" t="str">
        <f ca="1">IF(Residentes!A11="","",Residentes!C11)</f>
        <v>R3</v>
      </c>
      <c r="B220" s="43" t="str">
        <f>IF(Residentes!A11="","",Residentes!A11)</f>
        <v>Elena Sansano</v>
      </c>
      <c r="C220" s="44">
        <f t="shared" si="68"/>
        <v>0</v>
      </c>
      <c r="D220" s="45">
        <f t="shared" si="69"/>
        <v>0</v>
      </c>
      <c r="E220" s="45">
        <f t="shared" si="70"/>
        <v>0</v>
      </c>
      <c r="F220" s="46">
        <f t="shared" si="71"/>
        <v>0</v>
      </c>
      <c r="G220" s="47" cm="1">
        <f t="array" ref="G220">SUMPRODUCT((($I$214:$AM$214="S")+($I$214:$AM$214="D"))*(($I220:$AM220="G")+($I220:$AM220="GF")+($I220:$AM220="GP")))</f>
        <v>0</v>
      </c>
      <c r="H220" s="47" cm="1">
        <f t="array" ref="H220">SUMPRODUCT(($I$214:$AK$214="V")*(($I220:$AK220="G")+($I220:$AK220="GF")+($I220:$AK220="GP"))*(($K220:$AM220="G")+($K220:$AM220="GF")+($K220:$AM220="GP")))</f>
        <v>0</v>
      </c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</row>
    <row r="221" spans="1:39" hidden="1" outlineLevel="1" x14ac:dyDescent="0.2">
      <c r="A221" s="52" t="str">
        <f ca="1">IF(Residentes!A12="","",Residentes!C12)</f>
        <v>R3</v>
      </c>
      <c r="B221" s="43" t="str">
        <f>IF(Residentes!A12="","",Residentes!A12)</f>
        <v>Enrique Montiel</v>
      </c>
      <c r="C221" s="44">
        <f t="shared" si="68"/>
        <v>0</v>
      </c>
      <c r="D221" s="45">
        <f t="shared" si="69"/>
        <v>0</v>
      </c>
      <c r="E221" s="45">
        <f t="shared" si="70"/>
        <v>0</v>
      </c>
      <c r="F221" s="46">
        <f t="shared" si="71"/>
        <v>0</v>
      </c>
      <c r="G221" s="47" cm="1">
        <f t="array" ref="G221">SUMPRODUCT((($I$214:$AM$214="S")+($I$214:$AM$214="D"))*(($I221:$AM221="G")+($I221:$AM221="GF")+($I221:$AM221="GP")))</f>
        <v>0</v>
      </c>
      <c r="H221" s="47" cm="1">
        <f t="array" ref="H221">SUMPRODUCT(($I$214:$AK$214="V")*(($I221:$AK221="G")+($I221:$AK221="GF")+($I221:$AK221="GP"))*(($K221:$AM221="G")+($K221:$AM221="GF")+($K221:$AM221="GP")))</f>
        <v>0</v>
      </c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</row>
    <row r="222" spans="1:39" hidden="1" outlineLevel="1" x14ac:dyDescent="0.2">
      <c r="A222" s="52" t="str">
        <f ca="1">IF(Residentes!A13="","",Residentes!C13)</f>
        <v>R2</v>
      </c>
      <c r="B222" s="43" t="str">
        <f>IF(Residentes!A13="","",Residentes!A13)</f>
        <v>Fran Zomosa</v>
      </c>
      <c r="C222" s="44">
        <f t="shared" si="68"/>
        <v>0</v>
      </c>
      <c r="D222" s="45">
        <f t="shared" si="69"/>
        <v>0</v>
      </c>
      <c r="E222" s="45">
        <f t="shared" si="70"/>
        <v>0</v>
      </c>
      <c r="F222" s="46">
        <f t="shared" si="71"/>
        <v>0</v>
      </c>
      <c r="G222" s="47" cm="1">
        <f t="array" ref="G222">SUMPRODUCT((($I$214:$AM$214="S")+($I$214:$AM$214="D"))*(($I222:$AM222="G")+($I222:$AM222="GF")+($I222:$AM222="GP")))</f>
        <v>0</v>
      </c>
      <c r="H222" s="47" cm="1">
        <f t="array" ref="H222">SUMPRODUCT(($I$214:$AK$214="V")*(($I222:$AK222="G")+($I222:$AK222="GF")+($I222:$AK222="GP"))*(($K222:$AM222="G")+($K222:$AM222="GF")+($K222:$AM222="GP")))</f>
        <v>0</v>
      </c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</row>
    <row r="223" spans="1:39" hidden="1" outlineLevel="1" x14ac:dyDescent="0.2">
      <c r="A223" s="52" t="str">
        <f ca="1">IF(Residentes!A14="","",Residentes!C14)</f>
        <v>R2</v>
      </c>
      <c r="B223" s="43" t="str">
        <f>IF(Residentes!A14="","",Residentes!A14)</f>
        <v>Agus Lagioiosa</v>
      </c>
      <c r="C223" s="44">
        <f t="shared" si="68"/>
        <v>0</v>
      </c>
      <c r="D223" s="45">
        <f t="shared" si="69"/>
        <v>0</v>
      </c>
      <c r="E223" s="45">
        <f t="shared" si="70"/>
        <v>0</v>
      </c>
      <c r="F223" s="46">
        <f t="shared" si="71"/>
        <v>0</v>
      </c>
      <c r="G223" s="47" cm="1">
        <f t="array" ref="G223">SUMPRODUCT((($I$214:$AM$214="S")+($I$214:$AM$214="D"))*(($I223:$AM223="G")+($I223:$AM223="GF")+($I223:$AM223="GP")))</f>
        <v>0</v>
      </c>
      <c r="H223" s="47" cm="1">
        <f t="array" ref="H223">SUMPRODUCT(($I$214:$AK$214="V")*(($I223:$AK223="G")+($I223:$AK223="GF")+($I223:$AK223="GP"))*(($K223:$AM223="G")+($K223:$AM223="GF")+($K223:$AM223="GP")))</f>
        <v>0</v>
      </c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</row>
    <row r="224" spans="1:39" hidden="1" outlineLevel="1" x14ac:dyDescent="0.2">
      <c r="A224" s="52" t="str">
        <f ca="1">IF(Residentes!A15="","",Residentes!C15)</f>
        <v>R2</v>
      </c>
      <c r="B224" s="43" t="str">
        <f>IF(Residentes!A15="","",Residentes!A15)</f>
        <v>Elena Bonastre</v>
      </c>
      <c r="C224" s="44">
        <f t="shared" si="68"/>
        <v>0</v>
      </c>
      <c r="D224" s="45">
        <f t="shared" si="69"/>
        <v>0</v>
      </c>
      <c r="E224" s="45">
        <f t="shared" si="70"/>
        <v>0</v>
      </c>
      <c r="F224" s="46">
        <f t="shared" si="71"/>
        <v>0</v>
      </c>
      <c r="G224" s="47" cm="1">
        <f t="array" ref="G224">SUMPRODUCT((($I$214:$AM$214="S")+($I$214:$AM$214="D"))*(($I224:$AM224="G")+($I224:$AM224="GF")+($I224:$AM224="GP")))</f>
        <v>0</v>
      </c>
      <c r="H224" s="47" cm="1">
        <f t="array" ref="H224">SUMPRODUCT(($I$214:$AK$214="V")*(($I224:$AK224="G")+($I224:$AK224="GF")+($I224:$AK224="GP"))*(($K224:$AM224="G")+($K224:$AM224="GF")+($K224:$AM224="GP")))</f>
        <v>0</v>
      </c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</row>
    <row r="225" spans="1:39" hidden="1" outlineLevel="1" x14ac:dyDescent="0.2">
      <c r="A225" s="52" t="str">
        <f ca="1">IF(Residentes!A16="","",Residentes!C16)</f>
        <v>R2</v>
      </c>
      <c r="B225" s="43" t="str">
        <f>IF(Residentes!A16="","",Residentes!A16)</f>
        <v>María Armengol</v>
      </c>
      <c r="C225" s="44">
        <f t="shared" si="68"/>
        <v>0</v>
      </c>
      <c r="D225" s="45">
        <f t="shared" si="69"/>
        <v>0</v>
      </c>
      <c r="E225" s="45">
        <f t="shared" si="70"/>
        <v>0</v>
      </c>
      <c r="F225" s="46">
        <f t="shared" si="71"/>
        <v>0</v>
      </c>
      <c r="G225" s="47" cm="1">
        <f t="array" ref="G225">SUMPRODUCT((($I$214:$AM$214="S")+($I$214:$AM$214="D"))*(($I225:$AM225="G")+($I225:$AM225="GF")+($I225:$AM225="GP")))</f>
        <v>0</v>
      </c>
      <c r="H225" s="47" cm="1">
        <f t="array" ref="H225">SUMPRODUCT(($I$214:$AK$214="V")*(($I225:$AK225="G")+($I225:$AK225="GF")+($I225:$AK225="GP"))*(($K225:$AM225="G")+($K225:$AM225="GF")+($K225:$AM225="GP")))</f>
        <v>0</v>
      </c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</row>
    <row r="226" spans="1:39" hidden="1" outlineLevel="1" x14ac:dyDescent="0.2">
      <c r="A226" s="52" t="str">
        <f ca="1">IF(Residentes!A17="","",Residentes!C17)</f>
        <v>R1</v>
      </c>
      <c r="B226" s="43" t="str">
        <f>IF(Residentes!A17="","",Residentes!A17)</f>
        <v>Jaime Normand</v>
      </c>
      <c r="C226" s="44">
        <f t="shared" si="68"/>
        <v>0</v>
      </c>
      <c r="D226" s="45">
        <f t="shared" si="69"/>
        <v>0</v>
      </c>
      <c r="E226" s="45">
        <f t="shared" si="70"/>
        <v>0</v>
      </c>
      <c r="F226" s="46">
        <f t="shared" si="71"/>
        <v>0</v>
      </c>
      <c r="G226" s="47" cm="1">
        <f t="array" ref="G226">SUMPRODUCT((($I$214:$AM$214="S")+($I$214:$AM$214="D"))*(($I226:$AM226="G")+($I226:$AM226="GF")+($I226:$AM226="GP")))</f>
        <v>0</v>
      </c>
      <c r="H226" s="47" cm="1">
        <f t="array" ref="H226">SUMPRODUCT(($I$214:$AK$214="V")*(($I226:$AK226="G")+($I226:$AK226="GF")+($I226:$AK226="GP"))*(($K226:$AM226="G")+($K226:$AM226="GF")+($K226:$AM226="GP")))</f>
        <v>0</v>
      </c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</row>
    <row r="227" spans="1:39" hidden="1" outlineLevel="1" x14ac:dyDescent="0.2">
      <c r="A227" s="52" t="str">
        <f ca="1">IF(Residentes!A18="","",Residentes!C18)</f>
        <v>R1</v>
      </c>
      <c r="B227" s="43" t="str">
        <f>IF(Residentes!A18="","",Residentes!A18)</f>
        <v>Stephanie Aparicio</v>
      </c>
      <c r="C227" s="44">
        <f t="shared" si="68"/>
        <v>0</v>
      </c>
      <c r="D227" s="45">
        <f t="shared" si="69"/>
        <v>0</v>
      </c>
      <c r="E227" s="45">
        <f t="shared" si="70"/>
        <v>0</v>
      </c>
      <c r="F227" s="46">
        <f t="shared" si="71"/>
        <v>0</v>
      </c>
      <c r="G227" s="47" cm="1">
        <f t="array" ref="G227">SUMPRODUCT((($I$214:$AM$214="S")+($I$214:$AM$214="D"))*(($I227:$AM227="G")+($I227:$AM227="GF")+($I227:$AM227="GP")))</f>
        <v>0</v>
      </c>
      <c r="H227" s="47" cm="1">
        <f t="array" ref="H227">SUMPRODUCT(($I$214:$AK$214="V")*(($I227:$AK227="G")+($I227:$AK227="GF")+($I227:$AK227="GP"))*(($K227:$AM227="G")+($K227:$AM227="GF")+($K227:$AM227="GP")))</f>
        <v>0</v>
      </c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</row>
    <row r="228" spans="1:39" hidden="1" outlineLevel="1" x14ac:dyDescent="0.2">
      <c r="A228" s="52" t="str">
        <f ca="1">IF(Residentes!A19="","",Residentes!C19)</f>
        <v>R1</v>
      </c>
      <c r="B228" s="43" t="str">
        <f>IF(Residentes!A19="","",Residentes!A19)</f>
        <v>Marta Martínez</v>
      </c>
      <c r="C228" s="44">
        <f t="shared" si="68"/>
        <v>0</v>
      </c>
      <c r="D228" s="45">
        <f t="shared" si="69"/>
        <v>0</v>
      </c>
      <c r="E228" s="45">
        <f t="shared" si="70"/>
        <v>0</v>
      </c>
      <c r="F228" s="46">
        <f t="shared" si="71"/>
        <v>0</v>
      </c>
      <c r="G228" s="47" cm="1">
        <f t="array" ref="G228">SUMPRODUCT((($I$214:$AM$214="S")+($I$214:$AM$214="D"))*(($I228:$AM228="G")+($I228:$AM228="GF")+($I228:$AM228="GP")))</f>
        <v>0</v>
      </c>
      <c r="H228" s="47" cm="1">
        <f t="array" ref="H228">SUMPRODUCT(($I$214:$AK$214="V")*(($I228:$AK228="G")+($I228:$AK228="GF")+($I228:$AK228="GP"))*(($K228:$AM228="G")+($K228:$AM228="GF")+($K228:$AM228="GP")))</f>
        <v>0</v>
      </c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</row>
    <row r="229" spans="1:39" hidden="1" outlineLevel="1" x14ac:dyDescent="0.2">
      <c r="A229" s="52" t="str">
        <f ca="1">IF(Residentes!A20="","",Residentes!C20)</f>
        <v>R1</v>
      </c>
      <c r="B229" s="43" t="str">
        <f>IF(Residentes!A20="","",Residentes!A20)</f>
        <v>Manuel Cortés</v>
      </c>
      <c r="C229" s="44">
        <f t="shared" si="68"/>
        <v>0</v>
      </c>
      <c r="D229" s="45">
        <f t="shared" si="69"/>
        <v>0</v>
      </c>
      <c r="E229" s="45">
        <f t="shared" si="70"/>
        <v>0</v>
      </c>
      <c r="F229" s="46">
        <f t="shared" si="71"/>
        <v>0</v>
      </c>
      <c r="G229" s="47" cm="1">
        <f t="array" ref="G229">SUMPRODUCT((($I$214:$AM$214="S")+($I$214:$AM$214="D"))*(($I229:$AM229="G")+($I229:$AM229="GF")+($I229:$AM229="GP")))</f>
        <v>0</v>
      </c>
      <c r="H229" s="47" cm="1">
        <f t="array" ref="H229">SUMPRODUCT(($I$214:$AK$214="V")*(($I229:$AK229="G")+($I229:$AK229="GF")+($I229:$AK229="GP"))*(($K229:$AM229="G")+($K229:$AM229="GF")+($K229:$AM229="GP")))</f>
        <v>0</v>
      </c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</row>
    <row r="230" spans="1:39" collapsed="1" x14ac:dyDescent="0.2"/>
  </sheetData>
  <conditionalFormatting sqref="A6:A20">
    <cfRule type="expression" dxfId="98" priority="3">
      <formula>$A6="R4"</formula>
    </cfRule>
    <cfRule type="expression" dxfId="97" priority="4">
      <formula>$A6="R3"</formula>
    </cfRule>
    <cfRule type="expression" dxfId="96" priority="5">
      <formula>$A6="R2"</formula>
    </cfRule>
    <cfRule type="expression" dxfId="95" priority="6">
      <formula>$A6="R1"</formula>
    </cfRule>
    <cfRule type="expression" dxfId="94" priority="7">
      <formula>$A6="Finalizado"</formula>
    </cfRule>
  </conditionalFormatting>
  <conditionalFormatting sqref="A25:A39">
    <cfRule type="expression" dxfId="93" priority="10">
      <formula>$A25="R4"</formula>
    </cfRule>
    <cfRule type="expression" dxfId="92" priority="11">
      <formula>$A25="R3"</formula>
    </cfRule>
    <cfRule type="expression" dxfId="91" priority="12">
      <formula>$A25="R2"</formula>
    </cfRule>
    <cfRule type="expression" dxfId="90" priority="13">
      <formula>$A25="R1"</formula>
    </cfRule>
    <cfRule type="expression" dxfId="89" priority="14">
      <formula>$A25="Finalizado"</formula>
    </cfRule>
  </conditionalFormatting>
  <conditionalFormatting sqref="A44:A58">
    <cfRule type="expression" dxfId="88" priority="17">
      <formula>$A44="R4"</formula>
    </cfRule>
    <cfRule type="expression" dxfId="87" priority="21">
      <formula>$A44="Finalizado"</formula>
    </cfRule>
    <cfRule type="expression" dxfId="86" priority="20">
      <formula>$A44="R1"</formula>
    </cfRule>
    <cfRule type="expression" dxfId="85" priority="19">
      <formula>$A44="R2"</formula>
    </cfRule>
    <cfRule type="expression" dxfId="84" priority="18">
      <formula>$A44="R3"</formula>
    </cfRule>
  </conditionalFormatting>
  <conditionalFormatting sqref="A63:A77">
    <cfRule type="expression" dxfId="83" priority="26">
      <formula>$A63="R2"</formula>
    </cfRule>
    <cfRule type="expression" dxfId="82" priority="28">
      <formula>$A63="Finalizado"</formula>
    </cfRule>
    <cfRule type="expression" dxfId="81" priority="27">
      <formula>$A63="R1"</formula>
    </cfRule>
    <cfRule type="expression" dxfId="80" priority="24">
      <formula>$A63="R4"</formula>
    </cfRule>
    <cfRule type="expression" dxfId="79" priority="25">
      <formula>$A63="R3"</formula>
    </cfRule>
  </conditionalFormatting>
  <conditionalFormatting sqref="A82:A96">
    <cfRule type="expression" dxfId="78" priority="31">
      <formula>$A82="R4"</formula>
    </cfRule>
    <cfRule type="expression" dxfId="77" priority="32">
      <formula>$A82="R3"</formula>
    </cfRule>
    <cfRule type="expression" dxfId="76" priority="33">
      <formula>$A82="R2"</formula>
    </cfRule>
    <cfRule type="expression" dxfId="75" priority="34">
      <formula>$A82="R1"</formula>
    </cfRule>
    <cfRule type="expression" dxfId="74" priority="35">
      <formula>$A82="Finalizado"</formula>
    </cfRule>
  </conditionalFormatting>
  <conditionalFormatting sqref="A101:A115">
    <cfRule type="expression" dxfId="73" priority="41">
      <formula>$A101="R1"</formula>
    </cfRule>
    <cfRule type="expression" dxfId="72" priority="42">
      <formula>$A101="Finalizado"</formula>
    </cfRule>
    <cfRule type="expression" dxfId="71" priority="38">
      <formula>$A101="R4"</formula>
    </cfRule>
    <cfRule type="expression" dxfId="70" priority="39">
      <formula>$A101="R3"</formula>
    </cfRule>
    <cfRule type="expression" dxfId="69" priority="40">
      <formula>$A101="R2"</formula>
    </cfRule>
  </conditionalFormatting>
  <conditionalFormatting sqref="A120:A134">
    <cfRule type="expression" dxfId="68" priority="48">
      <formula>$A120="R1"</formula>
    </cfRule>
    <cfRule type="expression" dxfId="67" priority="49">
      <formula>$A120="Finalizado"</formula>
    </cfRule>
    <cfRule type="expression" dxfId="66" priority="47">
      <formula>$A120="R2"</formula>
    </cfRule>
    <cfRule type="expression" dxfId="65" priority="46">
      <formula>$A120="R3"</formula>
    </cfRule>
    <cfRule type="expression" dxfId="64" priority="45">
      <formula>$A120="R4"</formula>
    </cfRule>
  </conditionalFormatting>
  <conditionalFormatting sqref="A139:A153">
    <cfRule type="expression" dxfId="63" priority="52">
      <formula>$A139="R4"</formula>
    </cfRule>
    <cfRule type="expression" dxfId="62" priority="53">
      <formula>$A139="R3"</formula>
    </cfRule>
    <cfRule type="expression" dxfId="61" priority="54">
      <formula>$A139="R2"</formula>
    </cfRule>
    <cfRule type="expression" dxfId="60" priority="55">
      <formula>$A139="R1"</formula>
    </cfRule>
    <cfRule type="expression" dxfId="59" priority="56">
      <formula>$A139="Finalizado"</formula>
    </cfRule>
  </conditionalFormatting>
  <conditionalFormatting sqref="A158:A172">
    <cfRule type="expression" dxfId="58" priority="61">
      <formula>$A158="R2"</formula>
    </cfRule>
    <cfRule type="expression" dxfId="57" priority="63">
      <formula>$A158="Finalizado"</formula>
    </cfRule>
    <cfRule type="expression" dxfId="56" priority="62">
      <formula>$A158="R1"</formula>
    </cfRule>
    <cfRule type="expression" dxfId="55" priority="59">
      <formula>$A158="R4"</formula>
    </cfRule>
    <cfRule type="expression" dxfId="54" priority="60">
      <formula>$A158="R3"</formula>
    </cfRule>
  </conditionalFormatting>
  <conditionalFormatting sqref="A177:A191">
    <cfRule type="expression" dxfId="53" priority="69">
      <formula>$A177="R1"</formula>
    </cfRule>
    <cfRule type="expression" dxfId="52" priority="68">
      <formula>$A177="R2"</formula>
    </cfRule>
    <cfRule type="expression" dxfId="51" priority="70">
      <formula>$A177="Finalizado"</formula>
    </cfRule>
    <cfRule type="expression" dxfId="50" priority="67">
      <formula>$A177="R3"</formula>
    </cfRule>
    <cfRule type="expression" dxfId="49" priority="66">
      <formula>$A177="R4"</formula>
    </cfRule>
  </conditionalFormatting>
  <conditionalFormatting sqref="A196:A210">
    <cfRule type="expression" dxfId="48" priority="73">
      <formula>$A196="R4"</formula>
    </cfRule>
    <cfRule type="expression" dxfId="47" priority="74">
      <formula>$A196="R3"</formula>
    </cfRule>
    <cfRule type="expression" dxfId="46" priority="75">
      <formula>$A196="R2"</formula>
    </cfRule>
    <cfRule type="expression" dxfId="45" priority="76">
      <formula>$A196="R1"</formula>
    </cfRule>
    <cfRule type="expression" dxfId="44" priority="77">
      <formula>$A196="Finalizado"</formula>
    </cfRule>
  </conditionalFormatting>
  <conditionalFormatting sqref="A215:A229">
    <cfRule type="expression" dxfId="43" priority="84">
      <formula>$A215="Finalizado"</formula>
    </cfRule>
    <cfRule type="expression" dxfId="42" priority="80">
      <formula>$A215="R4"</formula>
    </cfRule>
    <cfRule type="expression" dxfId="41" priority="81">
      <formula>$A215="R3"</formula>
    </cfRule>
    <cfRule type="expression" dxfId="40" priority="82">
      <formula>$A215="R2"</formula>
    </cfRule>
    <cfRule type="expression" dxfId="39" priority="83">
      <formula>$A215="R1"</formula>
    </cfRule>
  </conditionalFormatting>
  <conditionalFormatting sqref="I4:AM5">
    <cfRule type="expression" dxfId="38" priority="1">
      <formula>OR(I$5="S",I$5="D")</formula>
    </cfRule>
  </conditionalFormatting>
  <conditionalFormatting sqref="I6:AM20">
    <cfRule type="expression" dxfId="37" priority="2">
      <formula>OR(I$5="S",I$5="D")</formula>
    </cfRule>
  </conditionalFormatting>
  <conditionalFormatting sqref="I23:AM24">
    <cfRule type="expression" dxfId="36" priority="8">
      <formula>OR(I$24="S",I$24="D")</formula>
    </cfRule>
  </conditionalFormatting>
  <conditionalFormatting sqref="I25:AM39">
    <cfRule type="expression" dxfId="35" priority="9">
      <formula>OR(I$24="S",I$24="D")</formula>
    </cfRule>
  </conditionalFormatting>
  <conditionalFormatting sqref="I42:AM43">
    <cfRule type="expression" dxfId="34" priority="15">
      <formula>OR(I$43="S",I$43="D")</formula>
    </cfRule>
  </conditionalFormatting>
  <conditionalFormatting sqref="I44:AM58">
    <cfRule type="expression" dxfId="33" priority="16">
      <formula>OR(I$43="S",I$43="D")</formula>
    </cfRule>
  </conditionalFormatting>
  <conditionalFormatting sqref="I61:AM62">
    <cfRule type="expression" dxfId="32" priority="22">
      <formula>OR(I$62="S",I$62="D")</formula>
    </cfRule>
  </conditionalFormatting>
  <conditionalFormatting sqref="I63:AM77">
    <cfRule type="expression" dxfId="31" priority="23">
      <formula>OR(I$62="S",I$62="D")</formula>
    </cfRule>
  </conditionalFormatting>
  <conditionalFormatting sqref="I80:AM81">
    <cfRule type="expression" dxfId="30" priority="29">
      <formula>OR(I$81="S",I$81="D")</formula>
    </cfRule>
  </conditionalFormatting>
  <conditionalFormatting sqref="I82:AM96">
    <cfRule type="expression" dxfId="29" priority="30">
      <formula>OR(I$81="S",I$81="D")</formula>
    </cfRule>
  </conditionalFormatting>
  <conditionalFormatting sqref="I99:AM100">
    <cfRule type="expression" dxfId="28" priority="36">
      <formula>OR(I$100="S",I$100="D")</formula>
    </cfRule>
  </conditionalFormatting>
  <conditionalFormatting sqref="I101:AM115">
    <cfRule type="expression" dxfId="27" priority="37">
      <formula>OR(I$100="S",I$100="D")</formula>
    </cfRule>
  </conditionalFormatting>
  <conditionalFormatting sqref="I118:AM119">
    <cfRule type="expression" dxfId="26" priority="43">
      <formula>OR(I$119="S",I$119="D")</formula>
    </cfRule>
  </conditionalFormatting>
  <conditionalFormatting sqref="I120:AM134">
    <cfRule type="expression" dxfId="25" priority="44">
      <formula>OR(I$119="S",I$119="D")</formula>
    </cfRule>
  </conditionalFormatting>
  <conditionalFormatting sqref="I137:AM138">
    <cfRule type="expression" dxfId="24" priority="50">
      <formula>OR(I$138="S",I$138="D")</formula>
    </cfRule>
  </conditionalFormatting>
  <conditionalFormatting sqref="I139:AM153">
    <cfRule type="expression" dxfId="23" priority="51">
      <formula>OR(I$138="S",I$138="D")</formula>
    </cfRule>
  </conditionalFormatting>
  <conditionalFormatting sqref="I156:AM157">
    <cfRule type="expression" dxfId="22" priority="57">
      <formula>OR(I$157="S",I$157="D")</formula>
    </cfRule>
  </conditionalFormatting>
  <conditionalFormatting sqref="I158:AM172">
    <cfRule type="expression" dxfId="21" priority="58">
      <formula>OR(I$157="S",I$157="D")</formula>
    </cfRule>
  </conditionalFormatting>
  <conditionalFormatting sqref="I175:AM176">
    <cfRule type="expression" dxfId="20" priority="64">
      <formula>OR(I$176="S",I$176="D")</formula>
    </cfRule>
  </conditionalFormatting>
  <conditionalFormatting sqref="I177:AM191">
    <cfRule type="expression" dxfId="19" priority="65">
      <formula>OR(I$176="S",I$176="D")</formula>
    </cfRule>
  </conditionalFormatting>
  <conditionalFormatting sqref="I194:AM195">
    <cfRule type="expression" dxfId="18" priority="71">
      <formula>OR(I$195="S",I$195="D")</formula>
    </cfRule>
  </conditionalFormatting>
  <conditionalFormatting sqref="I196:AM210">
    <cfRule type="expression" dxfId="17" priority="72">
      <formula>OR(I$195="S",I$195="D")</formula>
    </cfRule>
  </conditionalFormatting>
  <conditionalFormatting sqref="I213:AM214">
    <cfRule type="expression" dxfId="16" priority="78">
      <formula>OR(I$214="S",I$214="D")</formula>
    </cfRule>
  </conditionalFormatting>
  <conditionalFormatting sqref="I215:AM229">
    <cfRule type="expression" dxfId="15" priority="79">
      <formula>OR(I$214="S",I$214="D")</formula>
    </cfRule>
  </conditionalFormatting>
  <dataValidations count="1">
    <dataValidation type="list" allowBlank="1" showInputMessage="1" showErrorMessage="1" sqref="I6:AM20 I25:AM39 I44:AM58 I63:AM77 I82:AM96 I101:AM115 I120:AM134 I139:AM153 I158:AM172 I177:AM191 I196:AM210 I215:AM229" xr:uid="{0CB2B7D3-7417-FA49-8CB8-7805AB349EBB}">
      <formula1>"G,GF,GP,3P,V,R,B"</formula1>
    </dataValidation>
  </dataValidations>
  <hyperlinks>
    <hyperlink ref="B2" location="'Cuadrante Anual'!A3" display="Jun" xr:uid="{C167FA25-33FD-D64B-9477-EFE42E04597E}"/>
    <hyperlink ref="C2" location="'Cuadrante Anual'!A22" display="Jul" xr:uid="{3B30EEFC-2848-4B40-9F8D-8A1FEFFFEAE6}"/>
    <hyperlink ref="D2" location="'Cuadrante Anual'!A41" display="Ago" xr:uid="{31065DB1-F4E7-0242-B08B-7897F9588BCF}"/>
    <hyperlink ref="E2" location="'Cuadrante Anual'!A60" display="Sep" xr:uid="{28FE0632-2995-7F47-9864-DF6052B47884}"/>
    <hyperlink ref="F2" location="'Cuadrante Anual'!A79" display="Oct" xr:uid="{F68C67E4-E8BE-1F4D-A80C-7366D2922636}"/>
    <hyperlink ref="G2" location="'Cuadrante Anual'!A98" display="Nov" xr:uid="{C1B0BB1B-CDC7-B041-8C97-3B64DE71E63D}"/>
    <hyperlink ref="H2" location="'Cuadrante Anual'!A117" display="Dic" xr:uid="{4EED5726-A05E-BB40-91AB-CB1C9F022E94}"/>
    <hyperlink ref="I2" location="'Cuadrante Anual'!A136" display="Ene" xr:uid="{32F0C3F2-ECFF-1D42-AD6E-7615C32895B0}"/>
    <hyperlink ref="J2" location="'Cuadrante Anual'!A155" display="Feb" xr:uid="{AE67B0C8-E36A-1F47-BC2C-7424C7B15DC6}"/>
    <hyperlink ref="K2" location="'Cuadrante Anual'!A174" display="Mar" xr:uid="{560D134C-0198-4D48-AD30-06B51DAF8FB1}"/>
    <hyperlink ref="L2" location="'Cuadrante Anual'!A193" display="Abr" xr:uid="{52049890-D4CC-484A-9808-6D142063681D}"/>
    <hyperlink ref="M2" location="'Cuadrante Anual'!A212" display="May" xr:uid="{12D4E5B1-F1C7-1C44-985F-5FDA27974CA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5B88-C5F7-F44E-89FC-BD4A96F17F5F}">
  <dimension ref="A1:D21"/>
  <sheetViews>
    <sheetView workbookViewId="0"/>
  </sheetViews>
  <sheetFormatPr baseColWidth="10" defaultRowHeight="15" x14ac:dyDescent="0.2"/>
  <cols>
    <col min="1" max="1" width="21.6640625" customWidth="1"/>
    <col min="2" max="2" width="15" customWidth="1"/>
    <col min="3" max="3" width="11.6640625" customWidth="1"/>
    <col min="4" max="4" width="36.6640625" customWidth="1"/>
  </cols>
  <sheetData>
    <row r="1" spans="1:4" ht="17" x14ac:dyDescent="0.2">
      <c r="A1" s="26" t="s">
        <v>113</v>
      </c>
      <c r="B1" s="27"/>
      <c r="C1" s="27"/>
      <c r="D1" s="27"/>
    </row>
    <row r="2" spans="1:4" x14ac:dyDescent="0.2">
      <c r="A2" s="28" t="s">
        <v>114</v>
      </c>
    </row>
    <row r="3" spans="1:4" x14ac:dyDescent="0.2">
      <c r="A3" s="29" t="s">
        <v>115</v>
      </c>
      <c r="B3" s="30">
        <f ca="1">IF(MONTH(TODAY())&gt;=6,YEAR(TODAY()),YEAR(TODAY())-1)</f>
        <v>2026</v>
      </c>
    </row>
    <row r="5" spans="1:4" x14ac:dyDescent="0.2">
      <c r="A5" s="33" t="s">
        <v>10</v>
      </c>
      <c r="B5" s="33" t="s">
        <v>116</v>
      </c>
      <c r="C5" s="33" t="s">
        <v>117</v>
      </c>
      <c r="D5" s="33" t="s">
        <v>118</v>
      </c>
    </row>
    <row r="6" spans="1:4" x14ac:dyDescent="0.2">
      <c r="A6" s="34" t="s">
        <v>17</v>
      </c>
      <c r="B6" s="31">
        <v>2023</v>
      </c>
      <c r="C6" s="32" t="str">
        <f ca="1">IF($A6="","",IF($B$3-$B6+1&gt;4,"Finalizado",IF($B$3-$B6+1&lt;1,"Pendiente","R"&amp;($B$3-$B6+1))))</f>
        <v>R4</v>
      </c>
      <c r="D6" s="35"/>
    </row>
    <row r="7" spans="1:4" x14ac:dyDescent="0.2">
      <c r="A7" s="34" t="s">
        <v>18</v>
      </c>
      <c r="B7" s="31">
        <v>2023</v>
      </c>
      <c r="C7" s="32" t="str">
        <f t="shared" ref="C7:C21" ca="1" si="0">IF($A7="","",IF($B$3-$B7+1&gt;4,"Finalizado",IF($B$3-$B7+1&lt;1,"Pendiente","R"&amp;($B$3-$B7+1))))</f>
        <v>R4</v>
      </c>
      <c r="D7" s="35"/>
    </row>
    <row r="8" spans="1:4" x14ac:dyDescent="0.2">
      <c r="A8" s="34" t="s">
        <v>19</v>
      </c>
      <c r="B8" s="31">
        <v>2023</v>
      </c>
      <c r="C8" s="32" t="str">
        <f t="shared" ca="1" si="0"/>
        <v>R4</v>
      </c>
      <c r="D8" s="35"/>
    </row>
    <row r="9" spans="1:4" x14ac:dyDescent="0.2">
      <c r="A9" s="34" t="s">
        <v>21</v>
      </c>
      <c r="B9" s="31">
        <v>2024</v>
      </c>
      <c r="C9" s="32" t="str">
        <f t="shared" ca="1" si="0"/>
        <v>R3</v>
      </c>
      <c r="D9" s="35"/>
    </row>
    <row r="10" spans="1:4" x14ac:dyDescent="0.2">
      <c r="A10" s="34" t="s">
        <v>22</v>
      </c>
      <c r="B10" s="31">
        <v>2024</v>
      </c>
      <c r="C10" s="32" t="str">
        <f t="shared" ca="1" si="0"/>
        <v>R3</v>
      </c>
      <c r="D10" s="35"/>
    </row>
    <row r="11" spans="1:4" x14ac:dyDescent="0.2">
      <c r="A11" s="34" t="s">
        <v>23</v>
      </c>
      <c r="B11" s="31">
        <v>2024</v>
      </c>
      <c r="C11" s="32" t="str">
        <f t="shared" ca="1" si="0"/>
        <v>R3</v>
      </c>
      <c r="D11" s="35"/>
    </row>
    <row r="12" spans="1:4" x14ac:dyDescent="0.2">
      <c r="A12" s="34" t="s">
        <v>24</v>
      </c>
      <c r="B12" s="31">
        <v>2024</v>
      </c>
      <c r="C12" s="32" t="str">
        <f t="shared" ca="1" si="0"/>
        <v>R3</v>
      </c>
      <c r="D12" s="35"/>
    </row>
    <row r="13" spans="1:4" x14ac:dyDescent="0.2">
      <c r="A13" s="34" t="s">
        <v>26</v>
      </c>
      <c r="B13" s="31">
        <v>2025</v>
      </c>
      <c r="C13" s="32" t="str">
        <f t="shared" ca="1" si="0"/>
        <v>R2</v>
      </c>
      <c r="D13" s="35"/>
    </row>
    <row r="14" spans="1:4" x14ac:dyDescent="0.2">
      <c r="A14" s="34" t="s">
        <v>27</v>
      </c>
      <c r="B14" s="31">
        <v>2025</v>
      </c>
      <c r="C14" s="32" t="str">
        <f t="shared" ca="1" si="0"/>
        <v>R2</v>
      </c>
      <c r="D14" s="35"/>
    </row>
    <row r="15" spans="1:4" x14ac:dyDescent="0.2">
      <c r="A15" s="34" t="s">
        <v>28</v>
      </c>
      <c r="B15" s="31">
        <v>2025</v>
      </c>
      <c r="C15" s="32" t="str">
        <f t="shared" ca="1" si="0"/>
        <v>R2</v>
      </c>
      <c r="D15" s="35"/>
    </row>
    <row r="16" spans="1:4" x14ac:dyDescent="0.2">
      <c r="A16" s="34" t="s">
        <v>29</v>
      </c>
      <c r="B16" s="31">
        <v>2025</v>
      </c>
      <c r="C16" s="32" t="str">
        <f t="shared" ca="1" si="0"/>
        <v>R2</v>
      </c>
      <c r="D16" s="35"/>
    </row>
    <row r="17" spans="1:4" x14ac:dyDescent="0.2">
      <c r="A17" s="34" t="s">
        <v>31</v>
      </c>
      <c r="B17" s="31">
        <v>2026</v>
      </c>
      <c r="C17" s="32" t="str">
        <f t="shared" ca="1" si="0"/>
        <v>R1</v>
      </c>
      <c r="D17" s="35"/>
    </row>
    <row r="18" spans="1:4" x14ac:dyDescent="0.2">
      <c r="A18" s="34" t="s">
        <v>32</v>
      </c>
      <c r="B18" s="31">
        <v>2026</v>
      </c>
      <c r="C18" s="32" t="str">
        <f t="shared" ca="1" si="0"/>
        <v>R1</v>
      </c>
      <c r="D18" s="35"/>
    </row>
    <row r="19" spans="1:4" x14ac:dyDescent="0.2">
      <c r="A19" s="34" t="s">
        <v>33</v>
      </c>
      <c r="B19" s="31">
        <v>2026</v>
      </c>
      <c r="C19" s="32" t="str">
        <f t="shared" ca="1" si="0"/>
        <v>R1</v>
      </c>
      <c r="D19" s="35"/>
    </row>
    <row r="20" spans="1:4" x14ac:dyDescent="0.2">
      <c r="A20" s="34" t="s">
        <v>34</v>
      </c>
      <c r="B20" s="31">
        <v>2026</v>
      </c>
      <c r="C20" s="32" t="str">
        <f t="shared" ca="1" si="0"/>
        <v>R1</v>
      </c>
      <c r="D20" s="35"/>
    </row>
    <row r="21" spans="1:4" x14ac:dyDescent="0.2">
      <c r="A21" s="34"/>
      <c r="B21" s="31"/>
      <c r="C21" s="32" t="str">
        <f t="shared" si="0"/>
        <v/>
      </c>
      <c r="D21" s="35"/>
    </row>
  </sheetData>
  <conditionalFormatting sqref="C6:C21">
    <cfRule type="cellIs" dxfId="14" priority="1" operator="equal">
      <formula>"R4"</formula>
    </cfRule>
    <cfRule type="cellIs" dxfId="13" priority="2" operator="equal">
      <formula>"R3"</formula>
    </cfRule>
    <cfRule type="cellIs" dxfId="12" priority="3" operator="equal">
      <formula>"R2"</formula>
    </cfRule>
    <cfRule type="cellIs" dxfId="11" priority="4" operator="equal">
      <formula>"R1"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23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1" sqref="B21"/>
    </sheetView>
  </sheetViews>
  <sheetFormatPr baseColWidth="10" defaultColWidth="8.6640625" defaultRowHeight="15" x14ac:dyDescent="0.2"/>
  <cols>
    <col min="1" max="1" width="6" customWidth="1"/>
    <col min="2" max="2" width="22" customWidth="1"/>
    <col min="3" max="5" width="8" customWidth="1"/>
    <col min="6" max="8" width="9" customWidth="1"/>
    <col min="9" max="10" width="8" customWidth="1"/>
    <col min="11" max="11" width="12" customWidth="1"/>
    <col min="12" max="12" width="9" customWidth="1"/>
  </cols>
  <sheetData>
    <row r="1" spans="1:15" ht="33.75" customHeight="1" x14ac:dyDescent="0.2">
      <c r="A1" s="65" t="s">
        <v>35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</row>
    <row r="2" spans="1:15" ht="13.5" customHeight="1" x14ac:dyDescent="0.2">
      <c r="A2" s="66" t="s">
        <v>121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3" spans="1:15" ht="3.75" customHeight="1" x14ac:dyDescent="0.2"/>
    <row r="4" spans="1:15" ht="36" customHeight="1" x14ac:dyDescent="0.2">
      <c r="A4" s="1" t="s">
        <v>9</v>
      </c>
      <c r="B4" s="1" t="s">
        <v>10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36</v>
      </c>
      <c r="H4" s="1" t="s">
        <v>37</v>
      </c>
      <c r="I4" s="1" t="s">
        <v>38</v>
      </c>
      <c r="J4" s="1" t="s">
        <v>39</v>
      </c>
      <c r="K4" s="1" t="s">
        <v>40</v>
      </c>
      <c r="L4" s="1" t="s">
        <v>41</v>
      </c>
      <c r="M4" s="20" t="s">
        <v>109</v>
      </c>
      <c r="N4" s="37"/>
      <c r="O4" s="53" t="s">
        <v>120</v>
      </c>
    </row>
    <row r="5" spans="1:15" ht="18.75" customHeight="1" x14ac:dyDescent="0.2">
      <c r="A5" s="52" t="str">
        <f ca="1">IF(Residentes!A6="","",Residentes!C6)</f>
        <v>R4</v>
      </c>
      <c r="B5" s="43" t="str">
        <f>IF(Residentes!A6="","",Residentes!A6)</f>
        <v>Olatz Lopetegui</v>
      </c>
      <c r="C5" s="44">
        <f>SUMIF('Cuadrante Anual'!$B:$B,$B5,'Cuadrante Anual'!$C:$C)</f>
        <v>0</v>
      </c>
      <c r="D5" s="45">
        <f>SUMIF('Cuadrante Anual'!$B:$B,$B5,'Cuadrante Anual'!$D:$D)</f>
        <v>0</v>
      </c>
      <c r="E5" s="46">
        <f>SUMIF('Cuadrante Anual'!$B:$B,$B5,'Cuadrante Anual'!$F:$F)</f>
        <v>0</v>
      </c>
      <c r="F5" s="47">
        <f>SUMIF('Cuadrante Anual'!$B:$B,$B5,'Cuadrante Anual'!$G:$G)</f>
        <v>0</v>
      </c>
      <c r="G5" s="45">
        <f>SUMIF('Cuadrante Anual'!$B:$B,$B5,'Cuadrante Anual'!$D:$D)</f>
        <v>0</v>
      </c>
      <c r="H5" s="47">
        <f>SUMIF('Cuadrante Anual'!$B:$B,$B5,'Cuadrante Anual'!$H:$H)</f>
        <v>0</v>
      </c>
      <c r="I5" s="48">
        <v>0</v>
      </c>
      <c r="J5" s="48">
        <v>0</v>
      </c>
      <c r="K5" s="49">
        <f t="shared" ref="K5:K19" ca="1" si="0">IF($A5="","",_xlfn.MAXIFS($O$5:$O$19,$A$5:$A$19,$A5)-_xlfn.MINIFS($O$5:$O$19,$A$5:$A$19,$A5))</f>
        <v>0</v>
      </c>
      <c r="L5" s="50" t="str">
        <f t="shared" ref="L5:L19" ca="1" si="1">IF($A5="","",IF(K5&lt;=$B$21,"OK","REVISAR"))</f>
        <v>OK</v>
      </c>
      <c r="M5" s="45">
        <f>SUMIF('Cuadrante Anual'!$B:$B,$B5,'Cuadrante Anual'!$E:$E)</f>
        <v>0</v>
      </c>
      <c r="N5" s="51"/>
      <c r="O5" s="54">
        <f t="shared" ref="O5:O19" si="2">C5+D5+M5</f>
        <v>0</v>
      </c>
    </row>
    <row r="6" spans="1:15" ht="18.75" customHeight="1" x14ac:dyDescent="0.2">
      <c r="A6" s="52" t="str">
        <f ca="1">IF(Residentes!A7="","",Residentes!C7)</f>
        <v>R4</v>
      </c>
      <c r="B6" s="43" t="str">
        <f>IF(Residentes!A7="","",Residentes!A7)</f>
        <v>Sarai Moliner</v>
      </c>
      <c r="C6" s="44">
        <f>SUMIF('Cuadrante Anual'!$B:$B,$B6,'Cuadrante Anual'!$C:$C)</f>
        <v>0</v>
      </c>
      <c r="D6" s="45">
        <f>SUMIF('Cuadrante Anual'!$B:$B,$B6,'Cuadrante Anual'!$D:$D)</f>
        <v>0</v>
      </c>
      <c r="E6" s="46">
        <f>SUMIF('Cuadrante Anual'!$B:$B,$B6,'Cuadrante Anual'!$F:$F)</f>
        <v>0</v>
      </c>
      <c r="F6" s="47">
        <f>SUMIF('Cuadrante Anual'!$B:$B,$B6,'Cuadrante Anual'!$G:$G)</f>
        <v>0</v>
      </c>
      <c r="G6" s="45">
        <f>SUMIF('Cuadrante Anual'!$B:$B,$B6,'Cuadrante Anual'!$D:$D)</f>
        <v>0</v>
      </c>
      <c r="H6" s="47">
        <f>SUMIF('Cuadrante Anual'!$B:$B,$B6,'Cuadrante Anual'!$H:$H)</f>
        <v>0</v>
      </c>
      <c r="I6" s="48">
        <v>0</v>
      </c>
      <c r="J6" s="48">
        <v>0</v>
      </c>
      <c r="K6" s="49">
        <f t="shared" ca="1" si="0"/>
        <v>0</v>
      </c>
      <c r="L6" s="50" t="str">
        <f t="shared" ca="1" si="1"/>
        <v>OK</v>
      </c>
      <c r="M6" s="45">
        <f>SUMIF('Cuadrante Anual'!$B:$B,$B6,'Cuadrante Anual'!$E:$E)</f>
        <v>0</v>
      </c>
      <c r="N6" s="51"/>
      <c r="O6" s="54">
        <f t="shared" si="2"/>
        <v>0</v>
      </c>
    </row>
    <row r="7" spans="1:15" x14ac:dyDescent="0.2">
      <c r="A7" s="52" t="str">
        <f ca="1">IF(Residentes!A8="","",Residentes!C8)</f>
        <v>R4</v>
      </c>
      <c r="B7" s="43" t="str">
        <f>IF(Residentes!A8="","",Residentes!A8)</f>
        <v>Rocío Cutillas</v>
      </c>
      <c r="C7" s="44">
        <f>SUMIF('Cuadrante Anual'!$B:$B,$B7,'Cuadrante Anual'!$C:$C)</f>
        <v>0</v>
      </c>
      <c r="D7" s="45">
        <f>SUMIF('Cuadrante Anual'!$B:$B,$B7,'Cuadrante Anual'!$D:$D)</f>
        <v>0</v>
      </c>
      <c r="E7" s="46">
        <f>SUMIF('Cuadrante Anual'!$B:$B,$B7,'Cuadrante Anual'!$F:$F)</f>
        <v>0</v>
      </c>
      <c r="F7" s="47">
        <f>SUMIF('Cuadrante Anual'!$B:$B,$B7,'Cuadrante Anual'!$G:$G)</f>
        <v>0</v>
      </c>
      <c r="G7" s="45">
        <f>SUMIF('Cuadrante Anual'!$B:$B,$B7,'Cuadrante Anual'!$D:$D)</f>
        <v>0</v>
      </c>
      <c r="H7" s="47">
        <f>SUMIF('Cuadrante Anual'!$B:$B,$B7,'Cuadrante Anual'!$H:$H)</f>
        <v>0</v>
      </c>
      <c r="I7" s="48">
        <v>0</v>
      </c>
      <c r="J7" s="48">
        <v>0</v>
      </c>
      <c r="K7" s="49">
        <f t="shared" ca="1" si="0"/>
        <v>0</v>
      </c>
      <c r="L7" s="50" t="str">
        <f t="shared" ca="1" si="1"/>
        <v>OK</v>
      </c>
      <c r="M7" s="45">
        <f>SUMIF('Cuadrante Anual'!$B:$B,$B7,'Cuadrante Anual'!$E:$E)</f>
        <v>0</v>
      </c>
      <c r="N7" s="51"/>
      <c r="O7" s="54">
        <f t="shared" si="2"/>
        <v>0</v>
      </c>
    </row>
    <row r="8" spans="1:15" x14ac:dyDescent="0.2">
      <c r="A8" s="52" t="str">
        <f ca="1">IF(Residentes!A9="","",Residentes!C9)</f>
        <v>R3</v>
      </c>
      <c r="B8" s="43" t="str">
        <f>IF(Residentes!A9="","",Residentes!A9)</f>
        <v>Emi Tumbarello</v>
      </c>
      <c r="C8" s="44">
        <f>SUMIF('Cuadrante Anual'!$B:$B,$B8,'Cuadrante Anual'!$C:$C)</f>
        <v>0</v>
      </c>
      <c r="D8" s="45">
        <f>SUMIF('Cuadrante Anual'!$B:$B,$B8,'Cuadrante Anual'!$D:$D)</f>
        <v>0</v>
      </c>
      <c r="E8" s="46">
        <f>SUMIF('Cuadrante Anual'!$B:$B,$B8,'Cuadrante Anual'!$F:$F)</f>
        <v>0</v>
      </c>
      <c r="F8" s="47">
        <f>SUMIF('Cuadrante Anual'!$B:$B,$B8,'Cuadrante Anual'!$G:$G)</f>
        <v>0</v>
      </c>
      <c r="G8" s="45">
        <f>SUMIF('Cuadrante Anual'!$B:$B,$B8,'Cuadrante Anual'!$D:$D)</f>
        <v>0</v>
      </c>
      <c r="H8" s="47">
        <f>SUMIF('Cuadrante Anual'!$B:$B,$B8,'Cuadrante Anual'!$H:$H)</f>
        <v>0</v>
      </c>
      <c r="I8" s="48">
        <v>0</v>
      </c>
      <c r="J8" s="48">
        <v>0</v>
      </c>
      <c r="K8" s="49">
        <f t="shared" ca="1" si="0"/>
        <v>0</v>
      </c>
      <c r="L8" s="50" t="str">
        <f t="shared" ca="1" si="1"/>
        <v>OK</v>
      </c>
      <c r="M8" s="45">
        <f>SUMIF('Cuadrante Anual'!$B:$B,$B8,'Cuadrante Anual'!$E:$E)</f>
        <v>0</v>
      </c>
      <c r="N8" s="51"/>
      <c r="O8" s="54">
        <f t="shared" si="2"/>
        <v>0</v>
      </c>
    </row>
    <row r="9" spans="1:15" ht="18.75" customHeight="1" x14ac:dyDescent="0.2">
      <c r="A9" s="52" t="str">
        <f ca="1">IF(Residentes!A10="","",Residentes!C10)</f>
        <v>R3</v>
      </c>
      <c r="B9" s="43" t="str">
        <f>IF(Residentes!A10="","",Residentes!A10)</f>
        <v>Teresa Mateo</v>
      </c>
      <c r="C9" s="44">
        <f>SUMIF('Cuadrante Anual'!$B:$B,$B9,'Cuadrante Anual'!$C:$C)</f>
        <v>0</v>
      </c>
      <c r="D9" s="45">
        <f>SUMIF('Cuadrante Anual'!$B:$B,$B9,'Cuadrante Anual'!$D:$D)</f>
        <v>0</v>
      </c>
      <c r="E9" s="46">
        <f>SUMIF('Cuadrante Anual'!$B:$B,$B9,'Cuadrante Anual'!$F:$F)</f>
        <v>0</v>
      </c>
      <c r="F9" s="47">
        <f>SUMIF('Cuadrante Anual'!$B:$B,$B9,'Cuadrante Anual'!$G:$G)</f>
        <v>0</v>
      </c>
      <c r="G9" s="45">
        <f>SUMIF('Cuadrante Anual'!$B:$B,$B9,'Cuadrante Anual'!$D:$D)</f>
        <v>0</v>
      </c>
      <c r="H9" s="47">
        <f>SUMIF('Cuadrante Anual'!$B:$B,$B9,'Cuadrante Anual'!$H:$H)</f>
        <v>0</v>
      </c>
      <c r="I9" s="48">
        <v>0</v>
      </c>
      <c r="J9" s="48">
        <v>0</v>
      </c>
      <c r="K9" s="49">
        <f t="shared" ca="1" si="0"/>
        <v>0</v>
      </c>
      <c r="L9" s="50" t="str">
        <f t="shared" ca="1" si="1"/>
        <v>OK</v>
      </c>
      <c r="M9" s="45">
        <f>SUMIF('Cuadrante Anual'!$B:$B,$B9,'Cuadrante Anual'!$E:$E)</f>
        <v>0</v>
      </c>
      <c r="N9" s="51"/>
      <c r="O9" s="54">
        <f t="shared" si="2"/>
        <v>0</v>
      </c>
    </row>
    <row r="10" spans="1:15" ht="18.75" customHeight="1" x14ac:dyDescent="0.2">
      <c r="A10" s="52" t="str">
        <f ca="1">IF(Residentes!A11="","",Residentes!C11)</f>
        <v>R3</v>
      </c>
      <c r="B10" s="43" t="str">
        <f>IF(Residentes!A11="","",Residentes!A11)</f>
        <v>Elena Sansano</v>
      </c>
      <c r="C10" s="44">
        <f>SUMIF('Cuadrante Anual'!$B:$B,$B10,'Cuadrante Anual'!$C:$C)</f>
        <v>0</v>
      </c>
      <c r="D10" s="45">
        <f>SUMIF('Cuadrante Anual'!$B:$B,$B10,'Cuadrante Anual'!$D:$D)</f>
        <v>0</v>
      </c>
      <c r="E10" s="46">
        <f>SUMIF('Cuadrante Anual'!$B:$B,$B10,'Cuadrante Anual'!$F:$F)</f>
        <v>0</v>
      </c>
      <c r="F10" s="47">
        <f>SUMIF('Cuadrante Anual'!$B:$B,$B10,'Cuadrante Anual'!$G:$G)</f>
        <v>0</v>
      </c>
      <c r="G10" s="45">
        <f>SUMIF('Cuadrante Anual'!$B:$B,$B10,'Cuadrante Anual'!$D:$D)</f>
        <v>0</v>
      </c>
      <c r="H10" s="47">
        <f>SUMIF('Cuadrante Anual'!$B:$B,$B10,'Cuadrante Anual'!$H:$H)</f>
        <v>0</v>
      </c>
      <c r="I10" s="48">
        <v>0</v>
      </c>
      <c r="J10" s="48">
        <v>0</v>
      </c>
      <c r="K10" s="49">
        <f t="shared" ca="1" si="0"/>
        <v>0</v>
      </c>
      <c r="L10" s="50" t="str">
        <f t="shared" ca="1" si="1"/>
        <v>OK</v>
      </c>
      <c r="M10" s="45">
        <f>SUMIF('Cuadrante Anual'!$B:$B,$B10,'Cuadrante Anual'!$E:$E)</f>
        <v>0</v>
      </c>
      <c r="N10" s="51"/>
      <c r="O10" s="54">
        <f t="shared" si="2"/>
        <v>0</v>
      </c>
    </row>
    <row r="11" spans="1:15" ht="18.75" customHeight="1" x14ac:dyDescent="0.2">
      <c r="A11" s="52" t="str">
        <f ca="1">IF(Residentes!A12="","",Residentes!C12)</f>
        <v>R3</v>
      </c>
      <c r="B11" s="43" t="str">
        <f>IF(Residentes!A12="","",Residentes!A12)</f>
        <v>Enrique Montiel</v>
      </c>
      <c r="C11" s="44">
        <f>SUMIF('Cuadrante Anual'!$B:$B,$B11,'Cuadrante Anual'!$C:$C)</f>
        <v>0</v>
      </c>
      <c r="D11" s="45">
        <f>SUMIF('Cuadrante Anual'!$B:$B,$B11,'Cuadrante Anual'!$D:$D)</f>
        <v>0</v>
      </c>
      <c r="E11" s="46">
        <f>SUMIF('Cuadrante Anual'!$B:$B,$B11,'Cuadrante Anual'!$F:$F)</f>
        <v>0</v>
      </c>
      <c r="F11" s="47">
        <f>SUMIF('Cuadrante Anual'!$B:$B,$B11,'Cuadrante Anual'!$G:$G)</f>
        <v>0</v>
      </c>
      <c r="G11" s="45">
        <f>SUMIF('Cuadrante Anual'!$B:$B,$B11,'Cuadrante Anual'!$D:$D)</f>
        <v>0</v>
      </c>
      <c r="H11" s="47">
        <f>SUMIF('Cuadrante Anual'!$B:$B,$B11,'Cuadrante Anual'!$H:$H)</f>
        <v>0</v>
      </c>
      <c r="I11" s="48">
        <v>0</v>
      </c>
      <c r="J11" s="48">
        <v>0</v>
      </c>
      <c r="K11" s="49">
        <f t="shared" ca="1" si="0"/>
        <v>0</v>
      </c>
      <c r="L11" s="50" t="str">
        <f t="shared" ca="1" si="1"/>
        <v>OK</v>
      </c>
      <c r="M11" s="45">
        <f>SUMIF('Cuadrante Anual'!$B:$B,$B11,'Cuadrante Anual'!$E:$E)</f>
        <v>0</v>
      </c>
      <c r="N11" s="51"/>
      <c r="O11" s="54">
        <f t="shared" si="2"/>
        <v>0</v>
      </c>
    </row>
    <row r="12" spans="1:15" ht="18.75" customHeight="1" x14ac:dyDescent="0.2">
      <c r="A12" s="52" t="str">
        <f ca="1">IF(Residentes!A13="","",Residentes!C13)</f>
        <v>R2</v>
      </c>
      <c r="B12" s="43" t="str">
        <f>IF(Residentes!A13="","",Residentes!A13)</f>
        <v>Fran Zomosa</v>
      </c>
      <c r="C12" s="44">
        <f>SUMIF('Cuadrante Anual'!$B:$B,$B12,'Cuadrante Anual'!$C:$C)</f>
        <v>0</v>
      </c>
      <c r="D12" s="45">
        <f>SUMIF('Cuadrante Anual'!$B:$B,$B12,'Cuadrante Anual'!$D:$D)</f>
        <v>0</v>
      </c>
      <c r="E12" s="46">
        <f>SUMIF('Cuadrante Anual'!$B:$B,$B12,'Cuadrante Anual'!$F:$F)</f>
        <v>0</v>
      </c>
      <c r="F12" s="47">
        <f>SUMIF('Cuadrante Anual'!$B:$B,$B12,'Cuadrante Anual'!$G:$G)</f>
        <v>0</v>
      </c>
      <c r="G12" s="45">
        <f>SUMIF('Cuadrante Anual'!$B:$B,$B12,'Cuadrante Anual'!$D:$D)</f>
        <v>0</v>
      </c>
      <c r="H12" s="47">
        <f>SUMIF('Cuadrante Anual'!$B:$B,$B12,'Cuadrante Anual'!$H:$H)</f>
        <v>0</v>
      </c>
      <c r="I12" s="48">
        <v>0</v>
      </c>
      <c r="J12" s="48">
        <v>0</v>
      </c>
      <c r="K12" s="49">
        <f t="shared" ca="1" si="0"/>
        <v>0</v>
      </c>
      <c r="L12" s="50" t="str">
        <f t="shared" ca="1" si="1"/>
        <v>OK</v>
      </c>
      <c r="M12" s="45">
        <f>SUMIF('Cuadrante Anual'!$B:$B,$B12,'Cuadrante Anual'!$E:$E)</f>
        <v>0</v>
      </c>
      <c r="N12" s="51"/>
      <c r="O12" s="54">
        <f t="shared" si="2"/>
        <v>0</v>
      </c>
    </row>
    <row r="13" spans="1:15" x14ac:dyDescent="0.2">
      <c r="A13" s="52" t="str">
        <f ca="1">IF(Residentes!A14="","",Residentes!C14)</f>
        <v>R2</v>
      </c>
      <c r="B13" s="43" t="str">
        <f>IF(Residentes!A14="","",Residentes!A14)</f>
        <v>Agus Lagioiosa</v>
      </c>
      <c r="C13" s="44">
        <f>SUMIF('Cuadrante Anual'!$B:$B,$B13,'Cuadrante Anual'!$C:$C)</f>
        <v>0</v>
      </c>
      <c r="D13" s="45">
        <f>SUMIF('Cuadrante Anual'!$B:$B,$B13,'Cuadrante Anual'!$D:$D)</f>
        <v>0</v>
      </c>
      <c r="E13" s="46">
        <f>SUMIF('Cuadrante Anual'!$B:$B,$B13,'Cuadrante Anual'!$F:$F)</f>
        <v>0</v>
      </c>
      <c r="F13" s="47">
        <f>SUMIF('Cuadrante Anual'!$B:$B,$B13,'Cuadrante Anual'!$G:$G)</f>
        <v>0</v>
      </c>
      <c r="G13" s="45">
        <f>SUMIF('Cuadrante Anual'!$B:$B,$B13,'Cuadrante Anual'!$D:$D)</f>
        <v>0</v>
      </c>
      <c r="H13" s="47">
        <f>SUMIF('Cuadrante Anual'!$B:$B,$B13,'Cuadrante Anual'!$H:$H)</f>
        <v>0</v>
      </c>
      <c r="I13" s="48">
        <v>0</v>
      </c>
      <c r="J13" s="48">
        <v>0</v>
      </c>
      <c r="K13" s="49">
        <f t="shared" ca="1" si="0"/>
        <v>0</v>
      </c>
      <c r="L13" s="50" t="str">
        <f t="shared" ca="1" si="1"/>
        <v>OK</v>
      </c>
      <c r="M13" s="45">
        <f>SUMIF('Cuadrante Anual'!$B:$B,$B13,'Cuadrante Anual'!$E:$E)</f>
        <v>0</v>
      </c>
      <c r="N13" s="51"/>
      <c r="O13" s="54">
        <f t="shared" si="2"/>
        <v>0</v>
      </c>
    </row>
    <row r="14" spans="1:15" ht="18.75" customHeight="1" x14ac:dyDescent="0.2">
      <c r="A14" s="52" t="str">
        <f ca="1">IF(Residentes!A15="","",Residentes!C15)</f>
        <v>R2</v>
      </c>
      <c r="B14" s="43" t="str">
        <f>IF(Residentes!A15="","",Residentes!A15)</f>
        <v>Elena Bonastre</v>
      </c>
      <c r="C14" s="44">
        <f>SUMIF('Cuadrante Anual'!$B:$B,$B14,'Cuadrante Anual'!$C:$C)</f>
        <v>0</v>
      </c>
      <c r="D14" s="45">
        <f>SUMIF('Cuadrante Anual'!$B:$B,$B14,'Cuadrante Anual'!$D:$D)</f>
        <v>0</v>
      </c>
      <c r="E14" s="46">
        <f>SUMIF('Cuadrante Anual'!$B:$B,$B14,'Cuadrante Anual'!$F:$F)</f>
        <v>0</v>
      </c>
      <c r="F14" s="47">
        <f>SUMIF('Cuadrante Anual'!$B:$B,$B14,'Cuadrante Anual'!$G:$G)</f>
        <v>0</v>
      </c>
      <c r="G14" s="45">
        <f>SUMIF('Cuadrante Anual'!$B:$B,$B14,'Cuadrante Anual'!$D:$D)</f>
        <v>0</v>
      </c>
      <c r="H14" s="47">
        <f>SUMIF('Cuadrante Anual'!$B:$B,$B14,'Cuadrante Anual'!$H:$H)</f>
        <v>0</v>
      </c>
      <c r="I14" s="48">
        <v>0</v>
      </c>
      <c r="J14" s="48">
        <v>0</v>
      </c>
      <c r="K14" s="49">
        <f t="shared" ca="1" si="0"/>
        <v>0</v>
      </c>
      <c r="L14" s="50" t="str">
        <f t="shared" ca="1" si="1"/>
        <v>OK</v>
      </c>
      <c r="M14" s="45">
        <f>SUMIF('Cuadrante Anual'!$B:$B,$B14,'Cuadrante Anual'!$E:$E)</f>
        <v>0</v>
      </c>
      <c r="N14" s="51"/>
      <c r="O14" s="54">
        <f t="shared" si="2"/>
        <v>0</v>
      </c>
    </row>
    <row r="15" spans="1:15" ht="18.75" customHeight="1" x14ac:dyDescent="0.2">
      <c r="A15" s="52" t="str">
        <f ca="1">IF(Residentes!A16="","",Residentes!C16)</f>
        <v>R2</v>
      </c>
      <c r="B15" s="43" t="str">
        <f>IF(Residentes!A16="","",Residentes!A16)</f>
        <v>María Armengol</v>
      </c>
      <c r="C15" s="44">
        <f>SUMIF('Cuadrante Anual'!$B:$B,$B15,'Cuadrante Anual'!$C:$C)</f>
        <v>0</v>
      </c>
      <c r="D15" s="45">
        <f>SUMIF('Cuadrante Anual'!$B:$B,$B15,'Cuadrante Anual'!$D:$D)</f>
        <v>0</v>
      </c>
      <c r="E15" s="46">
        <f>SUMIF('Cuadrante Anual'!$B:$B,$B15,'Cuadrante Anual'!$F:$F)</f>
        <v>0</v>
      </c>
      <c r="F15" s="47">
        <f>SUMIF('Cuadrante Anual'!$B:$B,$B15,'Cuadrante Anual'!$G:$G)</f>
        <v>0</v>
      </c>
      <c r="G15" s="45">
        <f>SUMIF('Cuadrante Anual'!$B:$B,$B15,'Cuadrante Anual'!$D:$D)</f>
        <v>0</v>
      </c>
      <c r="H15" s="47">
        <f>SUMIF('Cuadrante Anual'!$B:$B,$B15,'Cuadrante Anual'!$H:$H)</f>
        <v>0</v>
      </c>
      <c r="I15" s="48">
        <v>0</v>
      </c>
      <c r="J15" s="48">
        <v>0</v>
      </c>
      <c r="K15" s="49">
        <f t="shared" ca="1" si="0"/>
        <v>0</v>
      </c>
      <c r="L15" s="50" t="str">
        <f t="shared" ca="1" si="1"/>
        <v>OK</v>
      </c>
      <c r="M15" s="45">
        <f>SUMIF('Cuadrante Anual'!$B:$B,$B15,'Cuadrante Anual'!$E:$E)</f>
        <v>0</v>
      </c>
      <c r="N15" s="51"/>
      <c r="O15" s="54">
        <f t="shared" si="2"/>
        <v>0</v>
      </c>
    </row>
    <row r="16" spans="1:15" ht="18.75" customHeight="1" x14ac:dyDescent="0.2">
      <c r="A16" s="52" t="str">
        <f ca="1">IF(Residentes!A17="","",Residentes!C17)</f>
        <v>R1</v>
      </c>
      <c r="B16" s="43" t="str">
        <f>IF(Residentes!A17="","",Residentes!A17)</f>
        <v>Jaime Normand</v>
      </c>
      <c r="C16" s="44">
        <f>SUMIF('Cuadrante Anual'!$B:$B,$B16,'Cuadrante Anual'!$C:$C)</f>
        <v>0</v>
      </c>
      <c r="D16" s="45">
        <f>SUMIF('Cuadrante Anual'!$B:$B,$B16,'Cuadrante Anual'!$D:$D)</f>
        <v>0</v>
      </c>
      <c r="E16" s="46">
        <f>SUMIF('Cuadrante Anual'!$B:$B,$B16,'Cuadrante Anual'!$F:$F)</f>
        <v>0</v>
      </c>
      <c r="F16" s="47">
        <f>SUMIF('Cuadrante Anual'!$B:$B,$B16,'Cuadrante Anual'!$G:$G)</f>
        <v>0</v>
      </c>
      <c r="G16" s="45">
        <f>SUMIF('Cuadrante Anual'!$B:$B,$B16,'Cuadrante Anual'!$D:$D)</f>
        <v>0</v>
      </c>
      <c r="H16" s="47">
        <f>SUMIF('Cuadrante Anual'!$B:$B,$B16,'Cuadrante Anual'!$H:$H)</f>
        <v>0</v>
      </c>
      <c r="I16" s="48">
        <v>0</v>
      </c>
      <c r="J16" s="48">
        <v>0</v>
      </c>
      <c r="K16" s="49">
        <f t="shared" ca="1" si="0"/>
        <v>0</v>
      </c>
      <c r="L16" s="50" t="str">
        <f t="shared" ca="1" si="1"/>
        <v>OK</v>
      </c>
      <c r="M16" s="45">
        <f>SUMIF('Cuadrante Anual'!$B:$B,$B16,'Cuadrante Anual'!$E:$E)</f>
        <v>0</v>
      </c>
      <c r="N16" s="51"/>
      <c r="O16" s="54">
        <f t="shared" si="2"/>
        <v>0</v>
      </c>
    </row>
    <row r="17" spans="1:15" ht="18.75" customHeight="1" x14ac:dyDescent="0.2">
      <c r="A17" s="52" t="str">
        <f ca="1">IF(Residentes!A18="","",Residentes!C18)</f>
        <v>R1</v>
      </c>
      <c r="B17" s="43" t="str">
        <f>IF(Residentes!A18="","",Residentes!A18)</f>
        <v>Stephanie Aparicio</v>
      </c>
      <c r="C17" s="44">
        <f>SUMIF('Cuadrante Anual'!$B:$B,$B17,'Cuadrante Anual'!$C:$C)</f>
        <v>0</v>
      </c>
      <c r="D17" s="45">
        <f>SUMIF('Cuadrante Anual'!$B:$B,$B17,'Cuadrante Anual'!$D:$D)</f>
        <v>0</v>
      </c>
      <c r="E17" s="46">
        <f>SUMIF('Cuadrante Anual'!$B:$B,$B17,'Cuadrante Anual'!$F:$F)</f>
        <v>0</v>
      </c>
      <c r="F17" s="47">
        <f>SUMIF('Cuadrante Anual'!$B:$B,$B17,'Cuadrante Anual'!$G:$G)</f>
        <v>0</v>
      </c>
      <c r="G17" s="45">
        <f>SUMIF('Cuadrante Anual'!$B:$B,$B17,'Cuadrante Anual'!$D:$D)</f>
        <v>0</v>
      </c>
      <c r="H17" s="47">
        <f>SUMIF('Cuadrante Anual'!$B:$B,$B17,'Cuadrante Anual'!$H:$H)</f>
        <v>0</v>
      </c>
      <c r="I17" s="48">
        <v>0</v>
      </c>
      <c r="J17" s="48">
        <v>0</v>
      </c>
      <c r="K17" s="49">
        <f t="shared" ca="1" si="0"/>
        <v>0</v>
      </c>
      <c r="L17" s="50" t="str">
        <f t="shared" ca="1" si="1"/>
        <v>OK</v>
      </c>
      <c r="M17" s="45">
        <f>SUMIF('Cuadrante Anual'!$B:$B,$B17,'Cuadrante Anual'!$E:$E)</f>
        <v>0</v>
      </c>
      <c r="N17" s="51"/>
      <c r="O17" s="54">
        <f t="shared" si="2"/>
        <v>0</v>
      </c>
    </row>
    <row r="18" spans="1:15" x14ac:dyDescent="0.2">
      <c r="A18" s="52" t="str">
        <f ca="1">IF(Residentes!A19="","",Residentes!C19)</f>
        <v>R1</v>
      </c>
      <c r="B18" s="43" t="str">
        <f>IF(Residentes!A19="","",Residentes!A19)</f>
        <v>Marta Martínez</v>
      </c>
      <c r="C18" s="44">
        <f>SUMIF('Cuadrante Anual'!$B:$B,$B18,'Cuadrante Anual'!$C:$C)</f>
        <v>0</v>
      </c>
      <c r="D18" s="45">
        <f>SUMIF('Cuadrante Anual'!$B:$B,$B18,'Cuadrante Anual'!$D:$D)</f>
        <v>0</v>
      </c>
      <c r="E18" s="46">
        <f>SUMIF('Cuadrante Anual'!$B:$B,$B18,'Cuadrante Anual'!$F:$F)</f>
        <v>0</v>
      </c>
      <c r="F18" s="47">
        <f>SUMIF('Cuadrante Anual'!$B:$B,$B18,'Cuadrante Anual'!$G:$G)</f>
        <v>0</v>
      </c>
      <c r="G18" s="45">
        <f>SUMIF('Cuadrante Anual'!$B:$B,$B18,'Cuadrante Anual'!$D:$D)</f>
        <v>0</v>
      </c>
      <c r="H18" s="47">
        <f>SUMIF('Cuadrante Anual'!$B:$B,$B18,'Cuadrante Anual'!$H:$H)</f>
        <v>0</v>
      </c>
      <c r="I18" s="48">
        <v>0</v>
      </c>
      <c r="J18" s="48">
        <v>0</v>
      </c>
      <c r="K18" s="49">
        <f t="shared" ca="1" si="0"/>
        <v>0</v>
      </c>
      <c r="L18" s="50" t="str">
        <f t="shared" ca="1" si="1"/>
        <v>OK</v>
      </c>
      <c r="M18" s="45">
        <f>SUMIF('Cuadrante Anual'!$B:$B,$B18,'Cuadrante Anual'!$E:$E)</f>
        <v>0</v>
      </c>
      <c r="N18" s="51"/>
      <c r="O18" s="54">
        <f t="shared" si="2"/>
        <v>0</v>
      </c>
    </row>
    <row r="19" spans="1:15" ht="18.75" customHeight="1" x14ac:dyDescent="0.2">
      <c r="A19" s="52" t="str">
        <f ca="1">IF(Residentes!A20="","",Residentes!C20)</f>
        <v>R1</v>
      </c>
      <c r="B19" s="43" t="str">
        <f>IF(Residentes!A20="","",Residentes!A20)</f>
        <v>Manuel Cortés</v>
      </c>
      <c r="C19" s="44">
        <f>SUMIF('Cuadrante Anual'!$B:$B,$B19,'Cuadrante Anual'!$C:$C)</f>
        <v>0</v>
      </c>
      <c r="D19" s="45">
        <f>SUMIF('Cuadrante Anual'!$B:$B,$B19,'Cuadrante Anual'!$D:$D)</f>
        <v>0</v>
      </c>
      <c r="E19" s="46">
        <f>SUMIF('Cuadrante Anual'!$B:$B,$B19,'Cuadrante Anual'!$F:$F)</f>
        <v>0</v>
      </c>
      <c r="F19" s="47">
        <f>SUMIF('Cuadrante Anual'!$B:$B,$B19,'Cuadrante Anual'!$G:$G)</f>
        <v>0</v>
      </c>
      <c r="G19" s="45">
        <f>SUMIF('Cuadrante Anual'!$B:$B,$B19,'Cuadrante Anual'!$D:$D)</f>
        <v>0</v>
      </c>
      <c r="H19" s="47">
        <f>SUMIF('Cuadrante Anual'!$B:$B,$B19,'Cuadrante Anual'!$H:$H)</f>
        <v>0</v>
      </c>
      <c r="I19" s="48">
        <v>0</v>
      </c>
      <c r="J19" s="48">
        <v>0</v>
      </c>
      <c r="K19" s="49">
        <f t="shared" ca="1" si="0"/>
        <v>0</v>
      </c>
      <c r="L19" s="50" t="str">
        <f t="shared" ca="1" si="1"/>
        <v>OK</v>
      </c>
      <c r="M19" s="45">
        <f>SUMIF('Cuadrante Anual'!$B:$B,$B19,'Cuadrante Anual'!$E:$E)</f>
        <v>0</v>
      </c>
      <c r="N19" s="51"/>
      <c r="O19" s="54">
        <f t="shared" si="2"/>
        <v>0</v>
      </c>
    </row>
    <row r="20" spans="1:15" ht="18.75" customHeight="1" x14ac:dyDescent="0.2"/>
    <row r="21" spans="1:15" ht="18.75" customHeight="1" x14ac:dyDescent="0.2">
      <c r="A21" s="40" t="s">
        <v>119</v>
      </c>
      <c r="B21" s="41">
        <v>1</v>
      </c>
    </row>
    <row r="22" spans="1:15" ht="18.75" customHeight="1" x14ac:dyDescent="0.2"/>
    <row r="23" spans="1:15" ht="3.7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</sheetData>
  <mergeCells count="2">
    <mergeCell ref="A1:N1"/>
    <mergeCell ref="A2:N2"/>
  </mergeCells>
  <conditionalFormatting sqref="A5:A19">
    <cfRule type="expression" dxfId="10" priority="1">
      <formula>$A5="R4"</formula>
    </cfRule>
    <cfRule type="expression" dxfId="9" priority="2">
      <formula>$A5="R3"</formula>
    </cfRule>
    <cfRule type="expression" dxfId="8" priority="3">
      <formula>$A5="R2"</formula>
    </cfRule>
    <cfRule type="expression" dxfId="7" priority="4">
      <formula>$A5="R1"</formula>
    </cfRule>
    <cfRule type="expression" dxfId="6" priority="5">
      <formula>$A5="Finalizado"</formula>
    </cfRule>
  </conditionalFormatting>
  <conditionalFormatting sqref="L5:L19">
    <cfRule type="expression" dxfId="5" priority="6">
      <formula>$L5="REVISAR"</formula>
    </cfRule>
  </conditionalFormatting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H23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8.6640625" defaultRowHeight="15" outlineLevelCol="1" x14ac:dyDescent="0.2"/>
  <cols>
    <col min="1" max="1" width="6" customWidth="1"/>
    <col min="2" max="2" width="22" customWidth="1"/>
    <col min="3" max="32" width="7" customWidth="1"/>
    <col min="33" max="33" width="10" customWidth="1"/>
    <col min="34" max="34" width="8.6640625" outlineLevel="1"/>
  </cols>
  <sheetData>
    <row r="1" spans="1:34" ht="33.75" customHeight="1" x14ac:dyDescent="0.2">
      <c r="A1" s="65" t="s">
        <v>42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</row>
    <row r="3" spans="1:34" ht="30" customHeight="1" x14ac:dyDescent="0.2">
      <c r="A3" s="55" t="s">
        <v>9</v>
      </c>
      <c r="B3" s="55" t="s">
        <v>10</v>
      </c>
      <c r="C3" s="69" t="s">
        <v>43</v>
      </c>
      <c r="D3" s="70"/>
      <c r="E3" s="70"/>
      <c r="F3" s="70"/>
      <c r="G3" s="70"/>
      <c r="H3" s="71"/>
      <c r="I3" s="69" t="s">
        <v>44</v>
      </c>
      <c r="J3" s="70"/>
      <c r="K3" s="70"/>
      <c r="L3" s="70"/>
      <c r="M3" s="70"/>
      <c r="N3" s="71"/>
      <c r="O3" s="69" t="s">
        <v>45</v>
      </c>
      <c r="P3" s="70"/>
      <c r="Q3" s="70"/>
      <c r="R3" s="70"/>
      <c r="S3" s="70"/>
      <c r="T3" s="71"/>
      <c r="U3" s="69" t="s">
        <v>46</v>
      </c>
      <c r="V3" s="70"/>
      <c r="W3" s="70"/>
      <c r="X3" s="70"/>
      <c r="Y3" s="70"/>
      <c r="Z3" s="71"/>
      <c r="AA3" s="72" t="s">
        <v>47</v>
      </c>
      <c r="AB3" s="73"/>
      <c r="AC3" s="73"/>
      <c r="AD3" s="73"/>
      <c r="AE3" s="73"/>
      <c r="AF3" s="74"/>
      <c r="AG3" s="67" t="s">
        <v>48</v>
      </c>
    </row>
    <row r="4" spans="1:34" ht="18" customHeight="1" x14ac:dyDescent="0.2">
      <c r="A4" s="1"/>
      <c r="B4" s="1"/>
      <c r="C4" s="14" t="s">
        <v>0</v>
      </c>
      <c r="D4" s="14" t="s">
        <v>1</v>
      </c>
      <c r="E4" s="14" t="s">
        <v>3</v>
      </c>
      <c r="F4" s="14" t="s">
        <v>49</v>
      </c>
      <c r="G4" s="14" t="s">
        <v>50</v>
      </c>
      <c r="H4" s="21" t="s">
        <v>110</v>
      </c>
      <c r="I4" s="14" t="s">
        <v>0</v>
      </c>
      <c r="J4" s="14" t="s">
        <v>1</v>
      </c>
      <c r="K4" s="14" t="s">
        <v>3</v>
      </c>
      <c r="L4" s="14" t="s">
        <v>49</v>
      </c>
      <c r="M4" s="14" t="s">
        <v>50</v>
      </c>
      <c r="N4" s="21" t="s">
        <v>110</v>
      </c>
      <c r="O4" s="14" t="s">
        <v>0</v>
      </c>
      <c r="P4" s="14" t="s">
        <v>1</v>
      </c>
      <c r="Q4" s="14" t="s">
        <v>3</v>
      </c>
      <c r="R4" s="14" t="s">
        <v>49</v>
      </c>
      <c r="S4" s="14" t="s">
        <v>50</v>
      </c>
      <c r="T4" s="21" t="s">
        <v>110</v>
      </c>
      <c r="U4" s="14" t="s">
        <v>0</v>
      </c>
      <c r="V4" s="14" t="s">
        <v>1</v>
      </c>
      <c r="W4" s="14" t="s">
        <v>3</v>
      </c>
      <c r="X4" s="14" t="s">
        <v>49</v>
      </c>
      <c r="Y4" s="14" t="s">
        <v>50</v>
      </c>
      <c r="Z4" s="21" t="s">
        <v>110</v>
      </c>
      <c r="AA4" s="15" t="s">
        <v>0</v>
      </c>
      <c r="AB4" s="15" t="s">
        <v>1</v>
      </c>
      <c r="AC4" s="15" t="s">
        <v>3</v>
      </c>
      <c r="AD4" s="15" t="s">
        <v>49</v>
      </c>
      <c r="AE4" s="15" t="s">
        <v>50</v>
      </c>
      <c r="AF4" s="22" t="s">
        <v>110</v>
      </c>
      <c r="AG4" s="68"/>
      <c r="AH4" s="59" t="s">
        <v>122</v>
      </c>
    </row>
    <row r="5" spans="1:34" ht="18.75" customHeight="1" x14ac:dyDescent="0.2">
      <c r="A5" s="52" t="str">
        <f ca="1">IF(Residentes!A6="","",Residentes!C6)</f>
        <v>R4</v>
      </c>
      <c r="B5" s="43" t="str">
        <f>IF(Residentes!A6="","",Residentes!A6)</f>
        <v>Olatz Lopetegui</v>
      </c>
      <c r="C5" s="56">
        <f>SUMIF('Cuadrante Anual'!$B$3:$B$59,$B5,'Cuadrante Anual'!$C$3:$C$59)</f>
        <v>0</v>
      </c>
      <c r="D5" s="56">
        <f>SUMIF('Cuadrante Anual'!$B$3:$B$59,$B5,'Cuadrante Anual'!$D$3:$D$59)</f>
        <v>0</v>
      </c>
      <c r="E5" s="56">
        <f>SUMIF('Cuadrante Anual'!$B$3:$B$59,$B5,'Cuadrante Anual'!$F$3:$F$59)</f>
        <v>0</v>
      </c>
      <c r="F5" s="56">
        <f>SUMIF('Cuadrante Anual'!$B$3:$B$59,$B5,'Cuadrante Anual'!$G$3:$G$59)</f>
        <v>0</v>
      </c>
      <c r="G5" s="56">
        <f>SUMIF('Cuadrante Anual'!$B$3:$B$59,$B5,'Cuadrante Anual'!$H$3:$H$59)</f>
        <v>0</v>
      </c>
      <c r="H5" s="56">
        <f>SUMIF('Cuadrante Anual'!$B$3:$B$59,$B5,'Cuadrante Anual'!$E$3:$E$59)</f>
        <v>0</v>
      </c>
      <c r="I5" s="57">
        <f>SUMIF('Cuadrante Anual'!$B$60:$B$116,$B5,'Cuadrante Anual'!$C$60:$C$116)</f>
        <v>0</v>
      </c>
      <c r="J5" s="57">
        <f>SUMIF('Cuadrante Anual'!$B$60:$B$116,$B5,'Cuadrante Anual'!$D$60:$D$116)</f>
        <v>0</v>
      </c>
      <c r="K5" s="57">
        <f>SUMIF('Cuadrante Anual'!$B$60:$B$116,$B5,'Cuadrante Anual'!$F$60:$F$116)</f>
        <v>0</v>
      </c>
      <c r="L5" s="57">
        <f>SUMIF('Cuadrante Anual'!$B$60:$B$116,$B5,'Cuadrante Anual'!$G$60:$G$116)</f>
        <v>0</v>
      </c>
      <c r="M5" s="57">
        <f>SUMIF('Cuadrante Anual'!$B$60:$B$116,$B5,'Cuadrante Anual'!$H$60:$H$116)</f>
        <v>0</v>
      </c>
      <c r="N5" s="57">
        <f>SUMIF('Cuadrante Anual'!$B$60:$B$116,$B5,'Cuadrante Anual'!$E$60:$E$116)</f>
        <v>0</v>
      </c>
      <c r="O5" s="56">
        <f>SUMIF('Cuadrante Anual'!$B$117:$B$173,$B5,'Cuadrante Anual'!$C$117:$C$173)</f>
        <v>0</v>
      </c>
      <c r="P5" s="56">
        <f>SUMIF('Cuadrante Anual'!$B$117:$B$173,$B5,'Cuadrante Anual'!$D$117:$D$173)</f>
        <v>0</v>
      </c>
      <c r="Q5" s="56">
        <f>SUMIF('Cuadrante Anual'!$B$117:$B$173,$B5,'Cuadrante Anual'!$F$117:$F$173)</f>
        <v>0</v>
      </c>
      <c r="R5" s="56">
        <f>SUMIF('Cuadrante Anual'!$B$117:$B$173,$B5,'Cuadrante Anual'!$G$117:$G$173)</f>
        <v>0</v>
      </c>
      <c r="S5" s="56">
        <f>SUMIF('Cuadrante Anual'!$B$117:$B$173,$B5,'Cuadrante Anual'!$H$117:$H$173)</f>
        <v>0</v>
      </c>
      <c r="T5" s="56">
        <f>SUMIF('Cuadrante Anual'!$B$117:$B$173,$B5,'Cuadrante Anual'!$E$117:$E$173)</f>
        <v>0</v>
      </c>
      <c r="U5" s="57">
        <f>SUMIF('Cuadrante Anual'!$B$174:$B$230,$B5,'Cuadrante Anual'!$C$174:$C$230)</f>
        <v>0</v>
      </c>
      <c r="V5" s="57">
        <f>SUMIF('Cuadrante Anual'!$B$174:$B$230,$B5,'Cuadrante Anual'!$D$174:$D$230)</f>
        <v>0</v>
      </c>
      <c r="W5" s="57">
        <f>SUMIF('Cuadrante Anual'!$B$174:$B$230,$B5,'Cuadrante Anual'!$F$174:$F$230)</f>
        <v>0</v>
      </c>
      <c r="X5" s="57">
        <f>SUMIF('Cuadrante Anual'!$B$174:$B$230,$B5,'Cuadrante Anual'!$G$174:$G$230)</f>
        <v>0</v>
      </c>
      <c r="Y5" s="57">
        <f>SUMIF('Cuadrante Anual'!$B$174:$B$230,$B5,'Cuadrante Anual'!$H$174:$H$230)</f>
        <v>0</v>
      </c>
      <c r="Z5" s="57">
        <f>SUMIF('Cuadrante Anual'!$B$174:$B$230,$B5,'Cuadrante Anual'!$E$174:$E$230)</f>
        <v>0</v>
      </c>
      <c r="AA5" s="58">
        <f t="shared" ref="AA5:AA19" si="0">C5+I5+O5+U5</f>
        <v>0</v>
      </c>
      <c r="AB5" s="58">
        <f t="shared" ref="AB5:AB19" si="1">D5+J5+P5+V5</f>
        <v>0</v>
      </c>
      <c r="AC5" s="58">
        <f t="shared" ref="AC5:AC19" si="2">E5+K5+Q5+W5</f>
        <v>0</v>
      </c>
      <c r="AD5" s="58">
        <f t="shared" ref="AD5:AD19" si="3">F5+L5+R5+X5</f>
        <v>0</v>
      </c>
      <c r="AE5" s="58">
        <f t="shared" ref="AE5:AE19" si="4">G5+M5+S5+Y5</f>
        <v>0</v>
      </c>
      <c r="AF5" s="58">
        <f t="shared" ref="AF5:AF19" si="5">H5+N5+T5+Z5</f>
        <v>0</v>
      </c>
      <c r="AG5" s="49">
        <f t="shared" ref="AG5:AG19" ca="1" si="6">IF($A5="","",_xlfn.MAXIFS($AH$5:$AH$19,$A$5:$A$19,$A5)-_xlfn.MINIFS($AH$5:$AH$19,$A$5:$A$19,$A5))</f>
        <v>0</v>
      </c>
      <c r="AH5" s="42">
        <f t="shared" ref="AH5:AH19" si="7">AA5+AB5+AF5</f>
        <v>0</v>
      </c>
    </row>
    <row r="6" spans="1:34" ht="18.75" customHeight="1" x14ac:dyDescent="0.2">
      <c r="A6" s="52" t="str">
        <f ca="1">IF(Residentes!A7="","",Residentes!C7)</f>
        <v>R4</v>
      </c>
      <c r="B6" s="43" t="str">
        <f>IF(Residentes!A7="","",Residentes!A7)</f>
        <v>Sarai Moliner</v>
      </c>
      <c r="C6" s="56">
        <f>SUMIF('Cuadrante Anual'!$B$3:$B$59,$B6,'Cuadrante Anual'!$C$3:$C$59)</f>
        <v>0</v>
      </c>
      <c r="D6" s="56">
        <f>SUMIF('Cuadrante Anual'!$B$3:$B$59,$B6,'Cuadrante Anual'!$D$3:$D$59)</f>
        <v>0</v>
      </c>
      <c r="E6" s="56">
        <f>SUMIF('Cuadrante Anual'!$B$3:$B$59,$B6,'Cuadrante Anual'!$F$3:$F$59)</f>
        <v>0</v>
      </c>
      <c r="F6" s="56">
        <f>SUMIF('Cuadrante Anual'!$B$3:$B$59,$B6,'Cuadrante Anual'!$G$3:$G$59)</f>
        <v>0</v>
      </c>
      <c r="G6" s="56">
        <f>SUMIF('Cuadrante Anual'!$B$3:$B$59,$B6,'Cuadrante Anual'!$H$3:$H$59)</f>
        <v>0</v>
      </c>
      <c r="H6" s="56">
        <f>SUMIF('Cuadrante Anual'!$B$3:$B$59,$B6,'Cuadrante Anual'!$E$3:$E$59)</f>
        <v>0</v>
      </c>
      <c r="I6" s="57">
        <f>SUMIF('Cuadrante Anual'!$B$60:$B$116,$B6,'Cuadrante Anual'!$C$60:$C$116)</f>
        <v>0</v>
      </c>
      <c r="J6" s="57">
        <f>SUMIF('Cuadrante Anual'!$B$60:$B$116,$B6,'Cuadrante Anual'!$D$60:$D$116)</f>
        <v>0</v>
      </c>
      <c r="K6" s="57">
        <f>SUMIF('Cuadrante Anual'!$B$60:$B$116,$B6,'Cuadrante Anual'!$F$60:$F$116)</f>
        <v>0</v>
      </c>
      <c r="L6" s="57">
        <f>SUMIF('Cuadrante Anual'!$B$60:$B$116,$B6,'Cuadrante Anual'!$G$60:$G$116)</f>
        <v>0</v>
      </c>
      <c r="M6" s="57">
        <f>SUMIF('Cuadrante Anual'!$B$60:$B$116,$B6,'Cuadrante Anual'!$H$60:$H$116)</f>
        <v>0</v>
      </c>
      <c r="N6" s="57">
        <f>SUMIF('Cuadrante Anual'!$B$60:$B$116,$B6,'Cuadrante Anual'!$E$60:$E$116)</f>
        <v>0</v>
      </c>
      <c r="O6" s="56">
        <f>SUMIF('Cuadrante Anual'!$B$117:$B$173,$B6,'Cuadrante Anual'!$C$117:$C$173)</f>
        <v>0</v>
      </c>
      <c r="P6" s="56">
        <f>SUMIF('Cuadrante Anual'!$B$117:$B$173,$B6,'Cuadrante Anual'!$D$117:$D$173)</f>
        <v>0</v>
      </c>
      <c r="Q6" s="56">
        <f>SUMIF('Cuadrante Anual'!$B$117:$B$173,$B6,'Cuadrante Anual'!$F$117:$F$173)</f>
        <v>0</v>
      </c>
      <c r="R6" s="56">
        <f>SUMIF('Cuadrante Anual'!$B$117:$B$173,$B6,'Cuadrante Anual'!$G$117:$G$173)</f>
        <v>0</v>
      </c>
      <c r="S6" s="56">
        <f>SUMIF('Cuadrante Anual'!$B$117:$B$173,$B6,'Cuadrante Anual'!$H$117:$H$173)</f>
        <v>0</v>
      </c>
      <c r="T6" s="56">
        <f>SUMIF('Cuadrante Anual'!$B$117:$B$173,$B6,'Cuadrante Anual'!$E$117:$E$173)</f>
        <v>0</v>
      </c>
      <c r="U6" s="57">
        <f>SUMIF('Cuadrante Anual'!$B$174:$B$230,$B6,'Cuadrante Anual'!$C$174:$C$230)</f>
        <v>0</v>
      </c>
      <c r="V6" s="57">
        <f>SUMIF('Cuadrante Anual'!$B$174:$B$230,$B6,'Cuadrante Anual'!$D$174:$D$230)</f>
        <v>0</v>
      </c>
      <c r="W6" s="57">
        <f>SUMIF('Cuadrante Anual'!$B$174:$B$230,$B6,'Cuadrante Anual'!$F$174:$F$230)</f>
        <v>0</v>
      </c>
      <c r="X6" s="57">
        <f>SUMIF('Cuadrante Anual'!$B$174:$B$230,$B6,'Cuadrante Anual'!$G$174:$G$230)</f>
        <v>0</v>
      </c>
      <c r="Y6" s="57">
        <f>SUMIF('Cuadrante Anual'!$B$174:$B$230,$B6,'Cuadrante Anual'!$H$174:$H$230)</f>
        <v>0</v>
      </c>
      <c r="Z6" s="57">
        <f>SUMIF('Cuadrante Anual'!$B$174:$B$230,$B6,'Cuadrante Anual'!$E$174:$E$230)</f>
        <v>0</v>
      </c>
      <c r="AA6" s="58">
        <f t="shared" si="0"/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58">
        <f t="shared" si="4"/>
        <v>0</v>
      </c>
      <c r="AF6" s="58">
        <f t="shared" si="5"/>
        <v>0</v>
      </c>
      <c r="AG6" s="49">
        <f t="shared" ca="1" si="6"/>
        <v>0</v>
      </c>
      <c r="AH6" s="42">
        <f t="shared" si="7"/>
        <v>0</v>
      </c>
    </row>
    <row r="7" spans="1:34" x14ac:dyDescent="0.2">
      <c r="A7" s="52" t="str">
        <f ca="1">IF(Residentes!A8="","",Residentes!C8)</f>
        <v>R4</v>
      </c>
      <c r="B7" s="43" t="str">
        <f>IF(Residentes!A8="","",Residentes!A8)</f>
        <v>Rocío Cutillas</v>
      </c>
      <c r="C7" s="56">
        <f>SUMIF('Cuadrante Anual'!$B$3:$B$59,$B7,'Cuadrante Anual'!$C$3:$C$59)</f>
        <v>0</v>
      </c>
      <c r="D7" s="56">
        <f>SUMIF('Cuadrante Anual'!$B$3:$B$59,$B7,'Cuadrante Anual'!$D$3:$D$59)</f>
        <v>0</v>
      </c>
      <c r="E7" s="56">
        <f>SUMIF('Cuadrante Anual'!$B$3:$B$59,$B7,'Cuadrante Anual'!$F$3:$F$59)</f>
        <v>0</v>
      </c>
      <c r="F7" s="56">
        <f>SUMIF('Cuadrante Anual'!$B$3:$B$59,$B7,'Cuadrante Anual'!$G$3:$G$59)</f>
        <v>0</v>
      </c>
      <c r="G7" s="56">
        <f>SUMIF('Cuadrante Anual'!$B$3:$B$59,$B7,'Cuadrante Anual'!$H$3:$H$59)</f>
        <v>0</v>
      </c>
      <c r="H7" s="56">
        <f>SUMIF('Cuadrante Anual'!$B$3:$B$59,$B7,'Cuadrante Anual'!$E$3:$E$59)</f>
        <v>0</v>
      </c>
      <c r="I7" s="57">
        <f>SUMIF('Cuadrante Anual'!$B$60:$B$116,$B7,'Cuadrante Anual'!$C$60:$C$116)</f>
        <v>0</v>
      </c>
      <c r="J7" s="57">
        <f>SUMIF('Cuadrante Anual'!$B$60:$B$116,$B7,'Cuadrante Anual'!$D$60:$D$116)</f>
        <v>0</v>
      </c>
      <c r="K7" s="57">
        <f>SUMIF('Cuadrante Anual'!$B$60:$B$116,$B7,'Cuadrante Anual'!$F$60:$F$116)</f>
        <v>0</v>
      </c>
      <c r="L7" s="57">
        <f>SUMIF('Cuadrante Anual'!$B$60:$B$116,$B7,'Cuadrante Anual'!$G$60:$G$116)</f>
        <v>0</v>
      </c>
      <c r="M7" s="57">
        <f>SUMIF('Cuadrante Anual'!$B$60:$B$116,$B7,'Cuadrante Anual'!$H$60:$H$116)</f>
        <v>0</v>
      </c>
      <c r="N7" s="57">
        <f>SUMIF('Cuadrante Anual'!$B$60:$B$116,$B7,'Cuadrante Anual'!$E$60:$E$116)</f>
        <v>0</v>
      </c>
      <c r="O7" s="56">
        <f>SUMIF('Cuadrante Anual'!$B$117:$B$173,$B7,'Cuadrante Anual'!$C$117:$C$173)</f>
        <v>0</v>
      </c>
      <c r="P7" s="56">
        <f>SUMIF('Cuadrante Anual'!$B$117:$B$173,$B7,'Cuadrante Anual'!$D$117:$D$173)</f>
        <v>0</v>
      </c>
      <c r="Q7" s="56">
        <f>SUMIF('Cuadrante Anual'!$B$117:$B$173,$B7,'Cuadrante Anual'!$F$117:$F$173)</f>
        <v>0</v>
      </c>
      <c r="R7" s="56">
        <f>SUMIF('Cuadrante Anual'!$B$117:$B$173,$B7,'Cuadrante Anual'!$G$117:$G$173)</f>
        <v>0</v>
      </c>
      <c r="S7" s="56">
        <f>SUMIF('Cuadrante Anual'!$B$117:$B$173,$B7,'Cuadrante Anual'!$H$117:$H$173)</f>
        <v>0</v>
      </c>
      <c r="T7" s="56">
        <f>SUMIF('Cuadrante Anual'!$B$117:$B$173,$B7,'Cuadrante Anual'!$E$117:$E$173)</f>
        <v>0</v>
      </c>
      <c r="U7" s="57">
        <f>SUMIF('Cuadrante Anual'!$B$174:$B$230,$B7,'Cuadrante Anual'!$C$174:$C$230)</f>
        <v>0</v>
      </c>
      <c r="V7" s="57">
        <f>SUMIF('Cuadrante Anual'!$B$174:$B$230,$B7,'Cuadrante Anual'!$D$174:$D$230)</f>
        <v>0</v>
      </c>
      <c r="W7" s="57">
        <f>SUMIF('Cuadrante Anual'!$B$174:$B$230,$B7,'Cuadrante Anual'!$F$174:$F$230)</f>
        <v>0</v>
      </c>
      <c r="X7" s="57">
        <f>SUMIF('Cuadrante Anual'!$B$174:$B$230,$B7,'Cuadrante Anual'!$G$174:$G$230)</f>
        <v>0</v>
      </c>
      <c r="Y7" s="57">
        <f>SUMIF('Cuadrante Anual'!$B$174:$B$230,$B7,'Cuadrante Anual'!$H$174:$H$230)</f>
        <v>0</v>
      </c>
      <c r="Z7" s="57">
        <f>SUMIF('Cuadrante Anual'!$B$174:$B$230,$B7,'Cuadrante Anual'!$E$174:$E$230)</f>
        <v>0</v>
      </c>
      <c r="AA7" s="58">
        <f t="shared" si="0"/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58">
        <f t="shared" si="4"/>
        <v>0</v>
      </c>
      <c r="AF7" s="58">
        <f t="shared" si="5"/>
        <v>0</v>
      </c>
      <c r="AG7" s="49">
        <f t="shared" ca="1" si="6"/>
        <v>0</v>
      </c>
      <c r="AH7" s="42">
        <f t="shared" si="7"/>
        <v>0</v>
      </c>
    </row>
    <row r="8" spans="1:34" x14ac:dyDescent="0.2">
      <c r="A8" s="52" t="str">
        <f ca="1">IF(Residentes!A9="","",Residentes!C9)</f>
        <v>R3</v>
      </c>
      <c r="B8" s="43" t="str">
        <f>IF(Residentes!A9="","",Residentes!A9)</f>
        <v>Emi Tumbarello</v>
      </c>
      <c r="C8" s="56">
        <f>SUMIF('Cuadrante Anual'!$B$3:$B$59,$B8,'Cuadrante Anual'!$C$3:$C$59)</f>
        <v>0</v>
      </c>
      <c r="D8" s="56">
        <f>SUMIF('Cuadrante Anual'!$B$3:$B$59,$B8,'Cuadrante Anual'!$D$3:$D$59)</f>
        <v>0</v>
      </c>
      <c r="E8" s="56">
        <f>SUMIF('Cuadrante Anual'!$B$3:$B$59,$B8,'Cuadrante Anual'!$F$3:$F$59)</f>
        <v>0</v>
      </c>
      <c r="F8" s="56">
        <f>SUMIF('Cuadrante Anual'!$B$3:$B$59,$B8,'Cuadrante Anual'!$G$3:$G$59)</f>
        <v>0</v>
      </c>
      <c r="G8" s="56">
        <f>SUMIF('Cuadrante Anual'!$B$3:$B$59,$B8,'Cuadrante Anual'!$H$3:$H$59)</f>
        <v>0</v>
      </c>
      <c r="H8" s="56">
        <f>SUMIF('Cuadrante Anual'!$B$3:$B$59,$B8,'Cuadrante Anual'!$E$3:$E$59)</f>
        <v>0</v>
      </c>
      <c r="I8" s="57">
        <f>SUMIF('Cuadrante Anual'!$B$60:$B$116,$B8,'Cuadrante Anual'!$C$60:$C$116)</f>
        <v>0</v>
      </c>
      <c r="J8" s="57">
        <f>SUMIF('Cuadrante Anual'!$B$60:$B$116,$B8,'Cuadrante Anual'!$D$60:$D$116)</f>
        <v>0</v>
      </c>
      <c r="K8" s="57">
        <f>SUMIF('Cuadrante Anual'!$B$60:$B$116,$B8,'Cuadrante Anual'!$F$60:$F$116)</f>
        <v>0</v>
      </c>
      <c r="L8" s="57">
        <f>SUMIF('Cuadrante Anual'!$B$60:$B$116,$B8,'Cuadrante Anual'!$G$60:$G$116)</f>
        <v>0</v>
      </c>
      <c r="M8" s="57">
        <f>SUMIF('Cuadrante Anual'!$B$60:$B$116,$B8,'Cuadrante Anual'!$H$60:$H$116)</f>
        <v>0</v>
      </c>
      <c r="N8" s="57">
        <f>SUMIF('Cuadrante Anual'!$B$60:$B$116,$B8,'Cuadrante Anual'!$E$60:$E$116)</f>
        <v>0</v>
      </c>
      <c r="O8" s="56">
        <f>SUMIF('Cuadrante Anual'!$B$117:$B$173,$B8,'Cuadrante Anual'!$C$117:$C$173)</f>
        <v>0</v>
      </c>
      <c r="P8" s="56">
        <f>SUMIF('Cuadrante Anual'!$B$117:$B$173,$B8,'Cuadrante Anual'!$D$117:$D$173)</f>
        <v>0</v>
      </c>
      <c r="Q8" s="56">
        <f>SUMIF('Cuadrante Anual'!$B$117:$B$173,$B8,'Cuadrante Anual'!$F$117:$F$173)</f>
        <v>0</v>
      </c>
      <c r="R8" s="56">
        <f>SUMIF('Cuadrante Anual'!$B$117:$B$173,$B8,'Cuadrante Anual'!$G$117:$G$173)</f>
        <v>0</v>
      </c>
      <c r="S8" s="56">
        <f>SUMIF('Cuadrante Anual'!$B$117:$B$173,$B8,'Cuadrante Anual'!$H$117:$H$173)</f>
        <v>0</v>
      </c>
      <c r="T8" s="56">
        <f>SUMIF('Cuadrante Anual'!$B$117:$B$173,$B8,'Cuadrante Anual'!$E$117:$E$173)</f>
        <v>0</v>
      </c>
      <c r="U8" s="57">
        <f>SUMIF('Cuadrante Anual'!$B$174:$B$230,$B8,'Cuadrante Anual'!$C$174:$C$230)</f>
        <v>0</v>
      </c>
      <c r="V8" s="57">
        <f>SUMIF('Cuadrante Anual'!$B$174:$B$230,$B8,'Cuadrante Anual'!$D$174:$D$230)</f>
        <v>0</v>
      </c>
      <c r="W8" s="57">
        <f>SUMIF('Cuadrante Anual'!$B$174:$B$230,$B8,'Cuadrante Anual'!$F$174:$F$230)</f>
        <v>0</v>
      </c>
      <c r="X8" s="57">
        <f>SUMIF('Cuadrante Anual'!$B$174:$B$230,$B8,'Cuadrante Anual'!$G$174:$G$230)</f>
        <v>0</v>
      </c>
      <c r="Y8" s="57">
        <f>SUMIF('Cuadrante Anual'!$B$174:$B$230,$B8,'Cuadrante Anual'!$H$174:$H$230)</f>
        <v>0</v>
      </c>
      <c r="Z8" s="57">
        <f>SUMIF('Cuadrante Anual'!$B$174:$B$230,$B8,'Cuadrante Anual'!$E$174:$E$230)</f>
        <v>0</v>
      </c>
      <c r="AA8" s="58">
        <f t="shared" si="0"/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58">
        <f t="shared" si="4"/>
        <v>0</v>
      </c>
      <c r="AF8" s="58">
        <f t="shared" si="5"/>
        <v>0</v>
      </c>
      <c r="AG8" s="49">
        <f t="shared" ca="1" si="6"/>
        <v>0</v>
      </c>
      <c r="AH8" s="42">
        <f t="shared" si="7"/>
        <v>0</v>
      </c>
    </row>
    <row r="9" spans="1:34" ht="18.75" customHeight="1" x14ac:dyDescent="0.2">
      <c r="A9" s="52" t="str">
        <f ca="1">IF(Residentes!A10="","",Residentes!C10)</f>
        <v>R3</v>
      </c>
      <c r="B9" s="43" t="str">
        <f>IF(Residentes!A10="","",Residentes!A10)</f>
        <v>Teresa Mateo</v>
      </c>
      <c r="C9" s="56">
        <f>SUMIF('Cuadrante Anual'!$B$3:$B$59,$B9,'Cuadrante Anual'!$C$3:$C$59)</f>
        <v>0</v>
      </c>
      <c r="D9" s="56">
        <f>SUMIF('Cuadrante Anual'!$B$3:$B$59,$B9,'Cuadrante Anual'!$D$3:$D$59)</f>
        <v>0</v>
      </c>
      <c r="E9" s="56">
        <f>SUMIF('Cuadrante Anual'!$B$3:$B$59,$B9,'Cuadrante Anual'!$F$3:$F$59)</f>
        <v>0</v>
      </c>
      <c r="F9" s="56">
        <f>SUMIF('Cuadrante Anual'!$B$3:$B$59,$B9,'Cuadrante Anual'!$G$3:$G$59)</f>
        <v>0</v>
      </c>
      <c r="G9" s="56">
        <f>SUMIF('Cuadrante Anual'!$B$3:$B$59,$B9,'Cuadrante Anual'!$H$3:$H$59)</f>
        <v>0</v>
      </c>
      <c r="H9" s="56">
        <f>SUMIF('Cuadrante Anual'!$B$3:$B$59,$B9,'Cuadrante Anual'!$E$3:$E$59)</f>
        <v>0</v>
      </c>
      <c r="I9" s="57">
        <f>SUMIF('Cuadrante Anual'!$B$60:$B$116,$B9,'Cuadrante Anual'!$C$60:$C$116)</f>
        <v>0</v>
      </c>
      <c r="J9" s="57">
        <f>SUMIF('Cuadrante Anual'!$B$60:$B$116,$B9,'Cuadrante Anual'!$D$60:$D$116)</f>
        <v>0</v>
      </c>
      <c r="K9" s="57">
        <f>SUMIF('Cuadrante Anual'!$B$60:$B$116,$B9,'Cuadrante Anual'!$F$60:$F$116)</f>
        <v>0</v>
      </c>
      <c r="L9" s="57">
        <f>SUMIF('Cuadrante Anual'!$B$60:$B$116,$B9,'Cuadrante Anual'!$G$60:$G$116)</f>
        <v>0</v>
      </c>
      <c r="M9" s="57">
        <f>SUMIF('Cuadrante Anual'!$B$60:$B$116,$B9,'Cuadrante Anual'!$H$60:$H$116)</f>
        <v>0</v>
      </c>
      <c r="N9" s="57">
        <f>SUMIF('Cuadrante Anual'!$B$60:$B$116,$B9,'Cuadrante Anual'!$E$60:$E$116)</f>
        <v>0</v>
      </c>
      <c r="O9" s="56">
        <f>SUMIF('Cuadrante Anual'!$B$117:$B$173,$B9,'Cuadrante Anual'!$C$117:$C$173)</f>
        <v>0</v>
      </c>
      <c r="P9" s="56">
        <f>SUMIF('Cuadrante Anual'!$B$117:$B$173,$B9,'Cuadrante Anual'!$D$117:$D$173)</f>
        <v>0</v>
      </c>
      <c r="Q9" s="56">
        <f>SUMIF('Cuadrante Anual'!$B$117:$B$173,$B9,'Cuadrante Anual'!$F$117:$F$173)</f>
        <v>0</v>
      </c>
      <c r="R9" s="56">
        <f>SUMIF('Cuadrante Anual'!$B$117:$B$173,$B9,'Cuadrante Anual'!$G$117:$G$173)</f>
        <v>0</v>
      </c>
      <c r="S9" s="56">
        <f>SUMIF('Cuadrante Anual'!$B$117:$B$173,$B9,'Cuadrante Anual'!$H$117:$H$173)</f>
        <v>0</v>
      </c>
      <c r="T9" s="56">
        <f>SUMIF('Cuadrante Anual'!$B$117:$B$173,$B9,'Cuadrante Anual'!$E$117:$E$173)</f>
        <v>0</v>
      </c>
      <c r="U9" s="57">
        <f>SUMIF('Cuadrante Anual'!$B$174:$B$230,$B9,'Cuadrante Anual'!$C$174:$C$230)</f>
        <v>0</v>
      </c>
      <c r="V9" s="57">
        <f>SUMIF('Cuadrante Anual'!$B$174:$B$230,$B9,'Cuadrante Anual'!$D$174:$D$230)</f>
        <v>0</v>
      </c>
      <c r="W9" s="57">
        <f>SUMIF('Cuadrante Anual'!$B$174:$B$230,$B9,'Cuadrante Anual'!$F$174:$F$230)</f>
        <v>0</v>
      </c>
      <c r="X9" s="57">
        <f>SUMIF('Cuadrante Anual'!$B$174:$B$230,$B9,'Cuadrante Anual'!$G$174:$G$230)</f>
        <v>0</v>
      </c>
      <c r="Y9" s="57">
        <f>SUMIF('Cuadrante Anual'!$B$174:$B$230,$B9,'Cuadrante Anual'!$H$174:$H$230)</f>
        <v>0</v>
      </c>
      <c r="Z9" s="57">
        <f>SUMIF('Cuadrante Anual'!$B$174:$B$230,$B9,'Cuadrante Anual'!$E$174:$E$230)</f>
        <v>0</v>
      </c>
      <c r="AA9" s="58">
        <f t="shared" si="0"/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58">
        <f t="shared" si="4"/>
        <v>0</v>
      </c>
      <c r="AF9" s="58">
        <f t="shared" si="5"/>
        <v>0</v>
      </c>
      <c r="AG9" s="49">
        <f t="shared" ca="1" si="6"/>
        <v>0</v>
      </c>
      <c r="AH9" s="42">
        <f t="shared" si="7"/>
        <v>0</v>
      </c>
    </row>
    <row r="10" spans="1:34" ht="18.75" customHeight="1" x14ac:dyDescent="0.2">
      <c r="A10" s="52" t="str">
        <f ca="1">IF(Residentes!A11="","",Residentes!C11)</f>
        <v>R3</v>
      </c>
      <c r="B10" s="43" t="str">
        <f>IF(Residentes!A11="","",Residentes!A11)</f>
        <v>Elena Sansano</v>
      </c>
      <c r="C10" s="56">
        <f>SUMIF('Cuadrante Anual'!$B$3:$B$59,$B10,'Cuadrante Anual'!$C$3:$C$59)</f>
        <v>0</v>
      </c>
      <c r="D10" s="56">
        <f>SUMIF('Cuadrante Anual'!$B$3:$B$59,$B10,'Cuadrante Anual'!$D$3:$D$59)</f>
        <v>0</v>
      </c>
      <c r="E10" s="56">
        <f>SUMIF('Cuadrante Anual'!$B$3:$B$59,$B10,'Cuadrante Anual'!$F$3:$F$59)</f>
        <v>0</v>
      </c>
      <c r="F10" s="56">
        <f>SUMIF('Cuadrante Anual'!$B$3:$B$59,$B10,'Cuadrante Anual'!$G$3:$G$59)</f>
        <v>0</v>
      </c>
      <c r="G10" s="56">
        <f>SUMIF('Cuadrante Anual'!$B$3:$B$59,$B10,'Cuadrante Anual'!$H$3:$H$59)</f>
        <v>0</v>
      </c>
      <c r="H10" s="56">
        <f>SUMIF('Cuadrante Anual'!$B$3:$B$59,$B10,'Cuadrante Anual'!$E$3:$E$59)</f>
        <v>0</v>
      </c>
      <c r="I10" s="57">
        <f>SUMIF('Cuadrante Anual'!$B$60:$B$116,$B10,'Cuadrante Anual'!$C$60:$C$116)</f>
        <v>0</v>
      </c>
      <c r="J10" s="57">
        <f>SUMIF('Cuadrante Anual'!$B$60:$B$116,$B10,'Cuadrante Anual'!$D$60:$D$116)</f>
        <v>0</v>
      </c>
      <c r="K10" s="57">
        <f>SUMIF('Cuadrante Anual'!$B$60:$B$116,$B10,'Cuadrante Anual'!$F$60:$F$116)</f>
        <v>0</v>
      </c>
      <c r="L10" s="57">
        <f>SUMIF('Cuadrante Anual'!$B$60:$B$116,$B10,'Cuadrante Anual'!$G$60:$G$116)</f>
        <v>0</v>
      </c>
      <c r="M10" s="57">
        <f>SUMIF('Cuadrante Anual'!$B$60:$B$116,$B10,'Cuadrante Anual'!$H$60:$H$116)</f>
        <v>0</v>
      </c>
      <c r="N10" s="57">
        <f>SUMIF('Cuadrante Anual'!$B$60:$B$116,$B10,'Cuadrante Anual'!$E$60:$E$116)</f>
        <v>0</v>
      </c>
      <c r="O10" s="56">
        <f>SUMIF('Cuadrante Anual'!$B$117:$B$173,$B10,'Cuadrante Anual'!$C$117:$C$173)</f>
        <v>0</v>
      </c>
      <c r="P10" s="56">
        <f>SUMIF('Cuadrante Anual'!$B$117:$B$173,$B10,'Cuadrante Anual'!$D$117:$D$173)</f>
        <v>0</v>
      </c>
      <c r="Q10" s="56">
        <f>SUMIF('Cuadrante Anual'!$B$117:$B$173,$B10,'Cuadrante Anual'!$F$117:$F$173)</f>
        <v>0</v>
      </c>
      <c r="R10" s="56">
        <f>SUMIF('Cuadrante Anual'!$B$117:$B$173,$B10,'Cuadrante Anual'!$G$117:$G$173)</f>
        <v>0</v>
      </c>
      <c r="S10" s="56">
        <f>SUMIF('Cuadrante Anual'!$B$117:$B$173,$B10,'Cuadrante Anual'!$H$117:$H$173)</f>
        <v>0</v>
      </c>
      <c r="T10" s="56">
        <f>SUMIF('Cuadrante Anual'!$B$117:$B$173,$B10,'Cuadrante Anual'!$E$117:$E$173)</f>
        <v>0</v>
      </c>
      <c r="U10" s="57">
        <f>SUMIF('Cuadrante Anual'!$B$174:$B$230,$B10,'Cuadrante Anual'!$C$174:$C$230)</f>
        <v>0</v>
      </c>
      <c r="V10" s="57">
        <f>SUMIF('Cuadrante Anual'!$B$174:$B$230,$B10,'Cuadrante Anual'!$D$174:$D$230)</f>
        <v>0</v>
      </c>
      <c r="W10" s="57">
        <f>SUMIF('Cuadrante Anual'!$B$174:$B$230,$B10,'Cuadrante Anual'!$F$174:$F$230)</f>
        <v>0</v>
      </c>
      <c r="X10" s="57">
        <f>SUMIF('Cuadrante Anual'!$B$174:$B$230,$B10,'Cuadrante Anual'!$G$174:$G$230)</f>
        <v>0</v>
      </c>
      <c r="Y10" s="57">
        <f>SUMIF('Cuadrante Anual'!$B$174:$B$230,$B10,'Cuadrante Anual'!$H$174:$H$230)</f>
        <v>0</v>
      </c>
      <c r="Z10" s="57">
        <f>SUMIF('Cuadrante Anual'!$B$174:$B$230,$B10,'Cuadrante Anual'!$E$174:$E$230)</f>
        <v>0</v>
      </c>
      <c r="AA10" s="58">
        <f t="shared" si="0"/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58">
        <f t="shared" si="4"/>
        <v>0</v>
      </c>
      <c r="AF10" s="58">
        <f t="shared" si="5"/>
        <v>0</v>
      </c>
      <c r="AG10" s="49">
        <f t="shared" ca="1" si="6"/>
        <v>0</v>
      </c>
      <c r="AH10" s="42">
        <f t="shared" si="7"/>
        <v>0</v>
      </c>
    </row>
    <row r="11" spans="1:34" ht="18.75" customHeight="1" x14ac:dyDescent="0.2">
      <c r="A11" s="52" t="str">
        <f ca="1">IF(Residentes!A12="","",Residentes!C12)</f>
        <v>R3</v>
      </c>
      <c r="B11" s="43" t="str">
        <f>IF(Residentes!A12="","",Residentes!A12)</f>
        <v>Enrique Montiel</v>
      </c>
      <c r="C11" s="56">
        <f>SUMIF('Cuadrante Anual'!$B$3:$B$59,$B11,'Cuadrante Anual'!$C$3:$C$59)</f>
        <v>0</v>
      </c>
      <c r="D11" s="56">
        <f>SUMIF('Cuadrante Anual'!$B$3:$B$59,$B11,'Cuadrante Anual'!$D$3:$D$59)</f>
        <v>0</v>
      </c>
      <c r="E11" s="56">
        <f>SUMIF('Cuadrante Anual'!$B$3:$B$59,$B11,'Cuadrante Anual'!$F$3:$F$59)</f>
        <v>0</v>
      </c>
      <c r="F11" s="56">
        <f>SUMIF('Cuadrante Anual'!$B$3:$B$59,$B11,'Cuadrante Anual'!$G$3:$G$59)</f>
        <v>0</v>
      </c>
      <c r="G11" s="56">
        <f>SUMIF('Cuadrante Anual'!$B$3:$B$59,$B11,'Cuadrante Anual'!$H$3:$H$59)</f>
        <v>0</v>
      </c>
      <c r="H11" s="56">
        <f>SUMIF('Cuadrante Anual'!$B$3:$B$59,$B11,'Cuadrante Anual'!$E$3:$E$59)</f>
        <v>0</v>
      </c>
      <c r="I11" s="57">
        <f>SUMIF('Cuadrante Anual'!$B$60:$B$116,$B11,'Cuadrante Anual'!$C$60:$C$116)</f>
        <v>0</v>
      </c>
      <c r="J11" s="57">
        <f>SUMIF('Cuadrante Anual'!$B$60:$B$116,$B11,'Cuadrante Anual'!$D$60:$D$116)</f>
        <v>0</v>
      </c>
      <c r="K11" s="57">
        <f>SUMIF('Cuadrante Anual'!$B$60:$B$116,$B11,'Cuadrante Anual'!$F$60:$F$116)</f>
        <v>0</v>
      </c>
      <c r="L11" s="57">
        <f>SUMIF('Cuadrante Anual'!$B$60:$B$116,$B11,'Cuadrante Anual'!$G$60:$G$116)</f>
        <v>0</v>
      </c>
      <c r="M11" s="57">
        <f>SUMIF('Cuadrante Anual'!$B$60:$B$116,$B11,'Cuadrante Anual'!$H$60:$H$116)</f>
        <v>0</v>
      </c>
      <c r="N11" s="57">
        <f>SUMIF('Cuadrante Anual'!$B$60:$B$116,$B11,'Cuadrante Anual'!$E$60:$E$116)</f>
        <v>0</v>
      </c>
      <c r="O11" s="56">
        <f>SUMIF('Cuadrante Anual'!$B$117:$B$173,$B11,'Cuadrante Anual'!$C$117:$C$173)</f>
        <v>0</v>
      </c>
      <c r="P11" s="56">
        <f>SUMIF('Cuadrante Anual'!$B$117:$B$173,$B11,'Cuadrante Anual'!$D$117:$D$173)</f>
        <v>0</v>
      </c>
      <c r="Q11" s="56">
        <f>SUMIF('Cuadrante Anual'!$B$117:$B$173,$B11,'Cuadrante Anual'!$F$117:$F$173)</f>
        <v>0</v>
      </c>
      <c r="R11" s="56">
        <f>SUMIF('Cuadrante Anual'!$B$117:$B$173,$B11,'Cuadrante Anual'!$G$117:$G$173)</f>
        <v>0</v>
      </c>
      <c r="S11" s="56">
        <f>SUMIF('Cuadrante Anual'!$B$117:$B$173,$B11,'Cuadrante Anual'!$H$117:$H$173)</f>
        <v>0</v>
      </c>
      <c r="T11" s="56">
        <f>SUMIF('Cuadrante Anual'!$B$117:$B$173,$B11,'Cuadrante Anual'!$E$117:$E$173)</f>
        <v>0</v>
      </c>
      <c r="U11" s="57">
        <f>SUMIF('Cuadrante Anual'!$B$174:$B$230,$B11,'Cuadrante Anual'!$C$174:$C$230)</f>
        <v>0</v>
      </c>
      <c r="V11" s="57">
        <f>SUMIF('Cuadrante Anual'!$B$174:$B$230,$B11,'Cuadrante Anual'!$D$174:$D$230)</f>
        <v>0</v>
      </c>
      <c r="W11" s="57">
        <f>SUMIF('Cuadrante Anual'!$B$174:$B$230,$B11,'Cuadrante Anual'!$F$174:$F$230)</f>
        <v>0</v>
      </c>
      <c r="X11" s="57">
        <f>SUMIF('Cuadrante Anual'!$B$174:$B$230,$B11,'Cuadrante Anual'!$G$174:$G$230)</f>
        <v>0</v>
      </c>
      <c r="Y11" s="57">
        <f>SUMIF('Cuadrante Anual'!$B$174:$B$230,$B11,'Cuadrante Anual'!$H$174:$H$230)</f>
        <v>0</v>
      </c>
      <c r="Z11" s="57">
        <f>SUMIF('Cuadrante Anual'!$B$174:$B$230,$B11,'Cuadrante Anual'!$E$174:$E$230)</f>
        <v>0</v>
      </c>
      <c r="AA11" s="58">
        <f t="shared" si="0"/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58">
        <f t="shared" si="4"/>
        <v>0</v>
      </c>
      <c r="AF11" s="58">
        <f t="shared" si="5"/>
        <v>0</v>
      </c>
      <c r="AG11" s="49">
        <f t="shared" ca="1" si="6"/>
        <v>0</v>
      </c>
      <c r="AH11" s="42">
        <f t="shared" si="7"/>
        <v>0</v>
      </c>
    </row>
    <row r="12" spans="1:34" x14ac:dyDescent="0.2">
      <c r="A12" s="52" t="str">
        <f ca="1">IF(Residentes!A13="","",Residentes!C13)</f>
        <v>R2</v>
      </c>
      <c r="B12" s="43" t="str">
        <f>IF(Residentes!A13="","",Residentes!A13)</f>
        <v>Fran Zomosa</v>
      </c>
      <c r="C12" s="56">
        <f>SUMIF('Cuadrante Anual'!$B$3:$B$59,$B12,'Cuadrante Anual'!$C$3:$C$59)</f>
        <v>0</v>
      </c>
      <c r="D12" s="56">
        <f>SUMIF('Cuadrante Anual'!$B$3:$B$59,$B12,'Cuadrante Anual'!$D$3:$D$59)</f>
        <v>0</v>
      </c>
      <c r="E12" s="56">
        <f>SUMIF('Cuadrante Anual'!$B$3:$B$59,$B12,'Cuadrante Anual'!$F$3:$F$59)</f>
        <v>0</v>
      </c>
      <c r="F12" s="56">
        <f>SUMIF('Cuadrante Anual'!$B$3:$B$59,$B12,'Cuadrante Anual'!$G$3:$G$59)</f>
        <v>0</v>
      </c>
      <c r="G12" s="56">
        <f>SUMIF('Cuadrante Anual'!$B$3:$B$59,$B12,'Cuadrante Anual'!$H$3:$H$59)</f>
        <v>0</v>
      </c>
      <c r="H12" s="56">
        <f>SUMIF('Cuadrante Anual'!$B$3:$B$59,$B12,'Cuadrante Anual'!$E$3:$E$59)</f>
        <v>0</v>
      </c>
      <c r="I12" s="57">
        <f>SUMIF('Cuadrante Anual'!$B$60:$B$116,$B12,'Cuadrante Anual'!$C$60:$C$116)</f>
        <v>0</v>
      </c>
      <c r="J12" s="57">
        <f>SUMIF('Cuadrante Anual'!$B$60:$B$116,$B12,'Cuadrante Anual'!$D$60:$D$116)</f>
        <v>0</v>
      </c>
      <c r="K12" s="57">
        <f>SUMIF('Cuadrante Anual'!$B$60:$B$116,$B12,'Cuadrante Anual'!$F$60:$F$116)</f>
        <v>0</v>
      </c>
      <c r="L12" s="57">
        <f>SUMIF('Cuadrante Anual'!$B$60:$B$116,$B12,'Cuadrante Anual'!$G$60:$G$116)</f>
        <v>0</v>
      </c>
      <c r="M12" s="57">
        <f>SUMIF('Cuadrante Anual'!$B$60:$B$116,$B12,'Cuadrante Anual'!$H$60:$H$116)</f>
        <v>0</v>
      </c>
      <c r="N12" s="57">
        <f>SUMIF('Cuadrante Anual'!$B$60:$B$116,$B12,'Cuadrante Anual'!$E$60:$E$116)</f>
        <v>0</v>
      </c>
      <c r="O12" s="56">
        <f>SUMIF('Cuadrante Anual'!$B$117:$B$173,$B12,'Cuadrante Anual'!$C$117:$C$173)</f>
        <v>0</v>
      </c>
      <c r="P12" s="56">
        <f>SUMIF('Cuadrante Anual'!$B$117:$B$173,$B12,'Cuadrante Anual'!$D$117:$D$173)</f>
        <v>0</v>
      </c>
      <c r="Q12" s="56">
        <f>SUMIF('Cuadrante Anual'!$B$117:$B$173,$B12,'Cuadrante Anual'!$F$117:$F$173)</f>
        <v>0</v>
      </c>
      <c r="R12" s="56">
        <f>SUMIF('Cuadrante Anual'!$B$117:$B$173,$B12,'Cuadrante Anual'!$G$117:$G$173)</f>
        <v>0</v>
      </c>
      <c r="S12" s="56">
        <f>SUMIF('Cuadrante Anual'!$B$117:$B$173,$B12,'Cuadrante Anual'!$H$117:$H$173)</f>
        <v>0</v>
      </c>
      <c r="T12" s="56">
        <f>SUMIF('Cuadrante Anual'!$B$117:$B$173,$B12,'Cuadrante Anual'!$E$117:$E$173)</f>
        <v>0</v>
      </c>
      <c r="U12" s="57">
        <f>SUMIF('Cuadrante Anual'!$B$174:$B$230,$B12,'Cuadrante Anual'!$C$174:$C$230)</f>
        <v>0</v>
      </c>
      <c r="V12" s="57">
        <f>SUMIF('Cuadrante Anual'!$B$174:$B$230,$B12,'Cuadrante Anual'!$D$174:$D$230)</f>
        <v>0</v>
      </c>
      <c r="W12" s="57">
        <f>SUMIF('Cuadrante Anual'!$B$174:$B$230,$B12,'Cuadrante Anual'!$F$174:$F$230)</f>
        <v>0</v>
      </c>
      <c r="X12" s="57">
        <f>SUMIF('Cuadrante Anual'!$B$174:$B$230,$B12,'Cuadrante Anual'!$G$174:$G$230)</f>
        <v>0</v>
      </c>
      <c r="Y12" s="57">
        <f>SUMIF('Cuadrante Anual'!$B$174:$B$230,$B12,'Cuadrante Anual'!$H$174:$H$230)</f>
        <v>0</v>
      </c>
      <c r="Z12" s="57">
        <f>SUMIF('Cuadrante Anual'!$B$174:$B$230,$B12,'Cuadrante Anual'!$E$174:$E$230)</f>
        <v>0</v>
      </c>
      <c r="AA12" s="58">
        <f t="shared" si="0"/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58">
        <f t="shared" si="4"/>
        <v>0</v>
      </c>
      <c r="AF12" s="58">
        <f t="shared" si="5"/>
        <v>0</v>
      </c>
      <c r="AG12" s="49">
        <f t="shared" ca="1" si="6"/>
        <v>0</v>
      </c>
      <c r="AH12" s="42">
        <f t="shared" si="7"/>
        <v>0</v>
      </c>
    </row>
    <row r="13" spans="1:34" x14ac:dyDescent="0.2">
      <c r="A13" s="52" t="str">
        <f ca="1">IF(Residentes!A14="","",Residentes!C14)</f>
        <v>R2</v>
      </c>
      <c r="B13" s="43" t="str">
        <f>IF(Residentes!A14="","",Residentes!A14)</f>
        <v>Agus Lagioiosa</v>
      </c>
      <c r="C13" s="56">
        <f>SUMIF('Cuadrante Anual'!$B$3:$B$59,$B13,'Cuadrante Anual'!$C$3:$C$59)</f>
        <v>0</v>
      </c>
      <c r="D13" s="56">
        <f>SUMIF('Cuadrante Anual'!$B$3:$B$59,$B13,'Cuadrante Anual'!$D$3:$D$59)</f>
        <v>0</v>
      </c>
      <c r="E13" s="56">
        <f>SUMIF('Cuadrante Anual'!$B$3:$B$59,$B13,'Cuadrante Anual'!$F$3:$F$59)</f>
        <v>0</v>
      </c>
      <c r="F13" s="56">
        <f>SUMIF('Cuadrante Anual'!$B$3:$B$59,$B13,'Cuadrante Anual'!$G$3:$G$59)</f>
        <v>0</v>
      </c>
      <c r="G13" s="56">
        <f>SUMIF('Cuadrante Anual'!$B$3:$B$59,$B13,'Cuadrante Anual'!$H$3:$H$59)</f>
        <v>0</v>
      </c>
      <c r="H13" s="56">
        <f>SUMIF('Cuadrante Anual'!$B$3:$B$59,$B13,'Cuadrante Anual'!$E$3:$E$59)</f>
        <v>0</v>
      </c>
      <c r="I13" s="57">
        <f>SUMIF('Cuadrante Anual'!$B$60:$B$116,$B13,'Cuadrante Anual'!$C$60:$C$116)</f>
        <v>0</v>
      </c>
      <c r="J13" s="57">
        <f>SUMIF('Cuadrante Anual'!$B$60:$B$116,$B13,'Cuadrante Anual'!$D$60:$D$116)</f>
        <v>0</v>
      </c>
      <c r="K13" s="57">
        <f>SUMIF('Cuadrante Anual'!$B$60:$B$116,$B13,'Cuadrante Anual'!$F$60:$F$116)</f>
        <v>0</v>
      </c>
      <c r="L13" s="57">
        <f>SUMIF('Cuadrante Anual'!$B$60:$B$116,$B13,'Cuadrante Anual'!$G$60:$G$116)</f>
        <v>0</v>
      </c>
      <c r="M13" s="57">
        <f>SUMIF('Cuadrante Anual'!$B$60:$B$116,$B13,'Cuadrante Anual'!$H$60:$H$116)</f>
        <v>0</v>
      </c>
      <c r="N13" s="57">
        <f>SUMIF('Cuadrante Anual'!$B$60:$B$116,$B13,'Cuadrante Anual'!$E$60:$E$116)</f>
        <v>0</v>
      </c>
      <c r="O13" s="56">
        <f>SUMIF('Cuadrante Anual'!$B$117:$B$173,$B13,'Cuadrante Anual'!$C$117:$C$173)</f>
        <v>0</v>
      </c>
      <c r="P13" s="56">
        <f>SUMIF('Cuadrante Anual'!$B$117:$B$173,$B13,'Cuadrante Anual'!$D$117:$D$173)</f>
        <v>0</v>
      </c>
      <c r="Q13" s="56">
        <f>SUMIF('Cuadrante Anual'!$B$117:$B$173,$B13,'Cuadrante Anual'!$F$117:$F$173)</f>
        <v>0</v>
      </c>
      <c r="R13" s="56">
        <f>SUMIF('Cuadrante Anual'!$B$117:$B$173,$B13,'Cuadrante Anual'!$G$117:$G$173)</f>
        <v>0</v>
      </c>
      <c r="S13" s="56">
        <f>SUMIF('Cuadrante Anual'!$B$117:$B$173,$B13,'Cuadrante Anual'!$H$117:$H$173)</f>
        <v>0</v>
      </c>
      <c r="T13" s="56">
        <f>SUMIF('Cuadrante Anual'!$B$117:$B$173,$B13,'Cuadrante Anual'!$E$117:$E$173)</f>
        <v>0</v>
      </c>
      <c r="U13" s="57">
        <f>SUMIF('Cuadrante Anual'!$B$174:$B$230,$B13,'Cuadrante Anual'!$C$174:$C$230)</f>
        <v>0</v>
      </c>
      <c r="V13" s="57">
        <f>SUMIF('Cuadrante Anual'!$B$174:$B$230,$B13,'Cuadrante Anual'!$D$174:$D$230)</f>
        <v>0</v>
      </c>
      <c r="W13" s="57">
        <f>SUMIF('Cuadrante Anual'!$B$174:$B$230,$B13,'Cuadrante Anual'!$F$174:$F$230)</f>
        <v>0</v>
      </c>
      <c r="X13" s="57">
        <f>SUMIF('Cuadrante Anual'!$B$174:$B$230,$B13,'Cuadrante Anual'!$G$174:$G$230)</f>
        <v>0</v>
      </c>
      <c r="Y13" s="57">
        <f>SUMIF('Cuadrante Anual'!$B$174:$B$230,$B13,'Cuadrante Anual'!$H$174:$H$230)</f>
        <v>0</v>
      </c>
      <c r="Z13" s="57">
        <f>SUMIF('Cuadrante Anual'!$B$174:$B$230,$B13,'Cuadrante Anual'!$E$174:$E$230)</f>
        <v>0</v>
      </c>
      <c r="AA13" s="58">
        <f t="shared" si="0"/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58">
        <f t="shared" si="4"/>
        <v>0</v>
      </c>
      <c r="AF13" s="58">
        <f t="shared" si="5"/>
        <v>0</v>
      </c>
      <c r="AG13" s="49">
        <f t="shared" ca="1" si="6"/>
        <v>0</v>
      </c>
      <c r="AH13" s="42">
        <f t="shared" si="7"/>
        <v>0</v>
      </c>
    </row>
    <row r="14" spans="1:34" ht="18.75" customHeight="1" x14ac:dyDescent="0.2">
      <c r="A14" s="52" t="str">
        <f ca="1">IF(Residentes!A15="","",Residentes!C15)</f>
        <v>R2</v>
      </c>
      <c r="B14" s="43" t="str">
        <f>IF(Residentes!A15="","",Residentes!A15)</f>
        <v>Elena Bonastre</v>
      </c>
      <c r="C14" s="56">
        <f>SUMIF('Cuadrante Anual'!$B$3:$B$59,$B14,'Cuadrante Anual'!$C$3:$C$59)</f>
        <v>0</v>
      </c>
      <c r="D14" s="56">
        <f>SUMIF('Cuadrante Anual'!$B$3:$B$59,$B14,'Cuadrante Anual'!$D$3:$D$59)</f>
        <v>0</v>
      </c>
      <c r="E14" s="56">
        <f>SUMIF('Cuadrante Anual'!$B$3:$B$59,$B14,'Cuadrante Anual'!$F$3:$F$59)</f>
        <v>0</v>
      </c>
      <c r="F14" s="56">
        <f>SUMIF('Cuadrante Anual'!$B$3:$B$59,$B14,'Cuadrante Anual'!$G$3:$G$59)</f>
        <v>0</v>
      </c>
      <c r="G14" s="56">
        <f>SUMIF('Cuadrante Anual'!$B$3:$B$59,$B14,'Cuadrante Anual'!$H$3:$H$59)</f>
        <v>0</v>
      </c>
      <c r="H14" s="56">
        <f>SUMIF('Cuadrante Anual'!$B$3:$B$59,$B14,'Cuadrante Anual'!$E$3:$E$59)</f>
        <v>0</v>
      </c>
      <c r="I14" s="57">
        <f>SUMIF('Cuadrante Anual'!$B$60:$B$116,$B14,'Cuadrante Anual'!$C$60:$C$116)</f>
        <v>0</v>
      </c>
      <c r="J14" s="57">
        <f>SUMIF('Cuadrante Anual'!$B$60:$B$116,$B14,'Cuadrante Anual'!$D$60:$D$116)</f>
        <v>0</v>
      </c>
      <c r="K14" s="57">
        <f>SUMIF('Cuadrante Anual'!$B$60:$B$116,$B14,'Cuadrante Anual'!$F$60:$F$116)</f>
        <v>0</v>
      </c>
      <c r="L14" s="57">
        <f>SUMIF('Cuadrante Anual'!$B$60:$B$116,$B14,'Cuadrante Anual'!$G$60:$G$116)</f>
        <v>0</v>
      </c>
      <c r="M14" s="57">
        <f>SUMIF('Cuadrante Anual'!$B$60:$B$116,$B14,'Cuadrante Anual'!$H$60:$H$116)</f>
        <v>0</v>
      </c>
      <c r="N14" s="57">
        <f>SUMIF('Cuadrante Anual'!$B$60:$B$116,$B14,'Cuadrante Anual'!$E$60:$E$116)</f>
        <v>0</v>
      </c>
      <c r="O14" s="56">
        <f>SUMIF('Cuadrante Anual'!$B$117:$B$173,$B14,'Cuadrante Anual'!$C$117:$C$173)</f>
        <v>0</v>
      </c>
      <c r="P14" s="56">
        <f>SUMIF('Cuadrante Anual'!$B$117:$B$173,$B14,'Cuadrante Anual'!$D$117:$D$173)</f>
        <v>0</v>
      </c>
      <c r="Q14" s="56">
        <f>SUMIF('Cuadrante Anual'!$B$117:$B$173,$B14,'Cuadrante Anual'!$F$117:$F$173)</f>
        <v>0</v>
      </c>
      <c r="R14" s="56">
        <f>SUMIF('Cuadrante Anual'!$B$117:$B$173,$B14,'Cuadrante Anual'!$G$117:$G$173)</f>
        <v>0</v>
      </c>
      <c r="S14" s="56">
        <f>SUMIF('Cuadrante Anual'!$B$117:$B$173,$B14,'Cuadrante Anual'!$H$117:$H$173)</f>
        <v>0</v>
      </c>
      <c r="T14" s="56">
        <f>SUMIF('Cuadrante Anual'!$B$117:$B$173,$B14,'Cuadrante Anual'!$E$117:$E$173)</f>
        <v>0</v>
      </c>
      <c r="U14" s="57">
        <f>SUMIF('Cuadrante Anual'!$B$174:$B$230,$B14,'Cuadrante Anual'!$C$174:$C$230)</f>
        <v>0</v>
      </c>
      <c r="V14" s="57">
        <f>SUMIF('Cuadrante Anual'!$B$174:$B$230,$B14,'Cuadrante Anual'!$D$174:$D$230)</f>
        <v>0</v>
      </c>
      <c r="W14" s="57">
        <f>SUMIF('Cuadrante Anual'!$B$174:$B$230,$B14,'Cuadrante Anual'!$F$174:$F$230)</f>
        <v>0</v>
      </c>
      <c r="X14" s="57">
        <f>SUMIF('Cuadrante Anual'!$B$174:$B$230,$B14,'Cuadrante Anual'!$G$174:$G$230)</f>
        <v>0</v>
      </c>
      <c r="Y14" s="57">
        <f>SUMIF('Cuadrante Anual'!$B$174:$B$230,$B14,'Cuadrante Anual'!$H$174:$H$230)</f>
        <v>0</v>
      </c>
      <c r="Z14" s="57">
        <f>SUMIF('Cuadrante Anual'!$B$174:$B$230,$B14,'Cuadrante Anual'!$E$174:$E$230)</f>
        <v>0</v>
      </c>
      <c r="AA14" s="58">
        <f t="shared" si="0"/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58">
        <f t="shared" si="4"/>
        <v>0</v>
      </c>
      <c r="AF14" s="58">
        <f t="shared" si="5"/>
        <v>0</v>
      </c>
      <c r="AG14" s="49">
        <f t="shared" ca="1" si="6"/>
        <v>0</v>
      </c>
      <c r="AH14" s="42">
        <f t="shared" si="7"/>
        <v>0</v>
      </c>
    </row>
    <row r="15" spans="1:34" ht="18.75" customHeight="1" x14ac:dyDescent="0.2">
      <c r="A15" s="52" t="str">
        <f ca="1">IF(Residentes!A16="","",Residentes!C16)</f>
        <v>R2</v>
      </c>
      <c r="B15" s="43" t="str">
        <f>IF(Residentes!A16="","",Residentes!A16)</f>
        <v>María Armengol</v>
      </c>
      <c r="C15" s="56">
        <f>SUMIF('Cuadrante Anual'!$B$3:$B$59,$B15,'Cuadrante Anual'!$C$3:$C$59)</f>
        <v>0</v>
      </c>
      <c r="D15" s="56">
        <f>SUMIF('Cuadrante Anual'!$B$3:$B$59,$B15,'Cuadrante Anual'!$D$3:$D$59)</f>
        <v>0</v>
      </c>
      <c r="E15" s="56">
        <f>SUMIF('Cuadrante Anual'!$B$3:$B$59,$B15,'Cuadrante Anual'!$F$3:$F$59)</f>
        <v>0</v>
      </c>
      <c r="F15" s="56">
        <f>SUMIF('Cuadrante Anual'!$B$3:$B$59,$B15,'Cuadrante Anual'!$G$3:$G$59)</f>
        <v>0</v>
      </c>
      <c r="G15" s="56">
        <f>SUMIF('Cuadrante Anual'!$B$3:$B$59,$B15,'Cuadrante Anual'!$H$3:$H$59)</f>
        <v>0</v>
      </c>
      <c r="H15" s="56">
        <f>SUMIF('Cuadrante Anual'!$B$3:$B$59,$B15,'Cuadrante Anual'!$E$3:$E$59)</f>
        <v>0</v>
      </c>
      <c r="I15" s="57">
        <f>SUMIF('Cuadrante Anual'!$B$60:$B$116,$B15,'Cuadrante Anual'!$C$60:$C$116)</f>
        <v>0</v>
      </c>
      <c r="J15" s="57">
        <f>SUMIF('Cuadrante Anual'!$B$60:$B$116,$B15,'Cuadrante Anual'!$D$60:$D$116)</f>
        <v>0</v>
      </c>
      <c r="K15" s="57">
        <f>SUMIF('Cuadrante Anual'!$B$60:$B$116,$B15,'Cuadrante Anual'!$F$60:$F$116)</f>
        <v>0</v>
      </c>
      <c r="L15" s="57">
        <f>SUMIF('Cuadrante Anual'!$B$60:$B$116,$B15,'Cuadrante Anual'!$G$60:$G$116)</f>
        <v>0</v>
      </c>
      <c r="M15" s="57">
        <f>SUMIF('Cuadrante Anual'!$B$60:$B$116,$B15,'Cuadrante Anual'!$H$60:$H$116)</f>
        <v>0</v>
      </c>
      <c r="N15" s="57">
        <f>SUMIF('Cuadrante Anual'!$B$60:$B$116,$B15,'Cuadrante Anual'!$E$60:$E$116)</f>
        <v>0</v>
      </c>
      <c r="O15" s="56">
        <f>SUMIF('Cuadrante Anual'!$B$117:$B$173,$B15,'Cuadrante Anual'!$C$117:$C$173)</f>
        <v>0</v>
      </c>
      <c r="P15" s="56">
        <f>SUMIF('Cuadrante Anual'!$B$117:$B$173,$B15,'Cuadrante Anual'!$D$117:$D$173)</f>
        <v>0</v>
      </c>
      <c r="Q15" s="56">
        <f>SUMIF('Cuadrante Anual'!$B$117:$B$173,$B15,'Cuadrante Anual'!$F$117:$F$173)</f>
        <v>0</v>
      </c>
      <c r="R15" s="56">
        <f>SUMIF('Cuadrante Anual'!$B$117:$B$173,$B15,'Cuadrante Anual'!$G$117:$G$173)</f>
        <v>0</v>
      </c>
      <c r="S15" s="56">
        <f>SUMIF('Cuadrante Anual'!$B$117:$B$173,$B15,'Cuadrante Anual'!$H$117:$H$173)</f>
        <v>0</v>
      </c>
      <c r="T15" s="56">
        <f>SUMIF('Cuadrante Anual'!$B$117:$B$173,$B15,'Cuadrante Anual'!$E$117:$E$173)</f>
        <v>0</v>
      </c>
      <c r="U15" s="57">
        <f>SUMIF('Cuadrante Anual'!$B$174:$B$230,$B15,'Cuadrante Anual'!$C$174:$C$230)</f>
        <v>0</v>
      </c>
      <c r="V15" s="57">
        <f>SUMIF('Cuadrante Anual'!$B$174:$B$230,$B15,'Cuadrante Anual'!$D$174:$D$230)</f>
        <v>0</v>
      </c>
      <c r="W15" s="57">
        <f>SUMIF('Cuadrante Anual'!$B$174:$B$230,$B15,'Cuadrante Anual'!$F$174:$F$230)</f>
        <v>0</v>
      </c>
      <c r="X15" s="57">
        <f>SUMIF('Cuadrante Anual'!$B$174:$B$230,$B15,'Cuadrante Anual'!$G$174:$G$230)</f>
        <v>0</v>
      </c>
      <c r="Y15" s="57">
        <f>SUMIF('Cuadrante Anual'!$B$174:$B$230,$B15,'Cuadrante Anual'!$H$174:$H$230)</f>
        <v>0</v>
      </c>
      <c r="Z15" s="57">
        <f>SUMIF('Cuadrante Anual'!$B$174:$B$230,$B15,'Cuadrante Anual'!$E$174:$E$230)</f>
        <v>0</v>
      </c>
      <c r="AA15" s="58">
        <f t="shared" si="0"/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58">
        <f t="shared" si="4"/>
        <v>0</v>
      </c>
      <c r="AF15" s="58">
        <f t="shared" si="5"/>
        <v>0</v>
      </c>
      <c r="AG15" s="49">
        <f t="shared" ca="1" si="6"/>
        <v>0</v>
      </c>
      <c r="AH15" s="42">
        <f t="shared" si="7"/>
        <v>0</v>
      </c>
    </row>
    <row r="16" spans="1:34" ht="18.75" customHeight="1" x14ac:dyDescent="0.2">
      <c r="A16" s="52" t="str">
        <f ca="1">IF(Residentes!A17="","",Residentes!C17)</f>
        <v>R1</v>
      </c>
      <c r="B16" s="43" t="str">
        <f>IF(Residentes!A17="","",Residentes!A17)</f>
        <v>Jaime Normand</v>
      </c>
      <c r="C16" s="56">
        <f>SUMIF('Cuadrante Anual'!$B$3:$B$59,$B16,'Cuadrante Anual'!$C$3:$C$59)</f>
        <v>0</v>
      </c>
      <c r="D16" s="56">
        <f>SUMIF('Cuadrante Anual'!$B$3:$B$59,$B16,'Cuadrante Anual'!$D$3:$D$59)</f>
        <v>0</v>
      </c>
      <c r="E16" s="56">
        <f>SUMIF('Cuadrante Anual'!$B$3:$B$59,$B16,'Cuadrante Anual'!$F$3:$F$59)</f>
        <v>0</v>
      </c>
      <c r="F16" s="56">
        <f>SUMIF('Cuadrante Anual'!$B$3:$B$59,$B16,'Cuadrante Anual'!$G$3:$G$59)</f>
        <v>0</v>
      </c>
      <c r="G16" s="56">
        <f>SUMIF('Cuadrante Anual'!$B$3:$B$59,$B16,'Cuadrante Anual'!$H$3:$H$59)</f>
        <v>0</v>
      </c>
      <c r="H16" s="56">
        <f>SUMIF('Cuadrante Anual'!$B$3:$B$59,$B16,'Cuadrante Anual'!$E$3:$E$59)</f>
        <v>0</v>
      </c>
      <c r="I16" s="57">
        <f>SUMIF('Cuadrante Anual'!$B$60:$B$116,$B16,'Cuadrante Anual'!$C$60:$C$116)</f>
        <v>0</v>
      </c>
      <c r="J16" s="57">
        <f>SUMIF('Cuadrante Anual'!$B$60:$B$116,$B16,'Cuadrante Anual'!$D$60:$D$116)</f>
        <v>0</v>
      </c>
      <c r="K16" s="57">
        <f>SUMIF('Cuadrante Anual'!$B$60:$B$116,$B16,'Cuadrante Anual'!$F$60:$F$116)</f>
        <v>0</v>
      </c>
      <c r="L16" s="57">
        <f>SUMIF('Cuadrante Anual'!$B$60:$B$116,$B16,'Cuadrante Anual'!$G$60:$G$116)</f>
        <v>0</v>
      </c>
      <c r="M16" s="57">
        <f>SUMIF('Cuadrante Anual'!$B$60:$B$116,$B16,'Cuadrante Anual'!$H$60:$H$116)</f>
        <v>0</v>
      </c>
      <c r="N16" s="57">
        <f>SUMIF('Cuadrante Anual'!$B$60:$B$116,$B16,'Cuadrante Anual'!$E$60:$E$116)</f>
        <v>0</v>
      </c>
      <c r="O16" s="56">
        <f>SUMIF('Cuadrante Anual'!$B$117:$B$173,$B16,'Cuadrante Anual'!$C$117:$C$173)</f>
        <v>0</v>
      </c>
      <c r="P16" s="56">
        <f>SUMIF('Cuadrante Anual'!$B$117:$B$173,$B16,'Cuadrante Anual'!$D$117:$D$173)</f>
        <v>0</v>
      </c>
      <c r="Q16" s="56">
        <f>SUMIF('Cuadrante Anual'!$B$117:$B$173,$B16,'Cuadrante Anual'!$F$117:$F$173)</f>
        <v>0</v>
      </c>
      <c r="R16" s="56">
        <f>SUMIF('Cuadrante Anual'!$B$117:$B$173,$B16,'Cuadrante Anual'!$G$117:$G$173)</f>
        <v>0</v>
      </c>
      <c r="S16" s="56">
        <f>SUMIF('Cuadrante Anual'!$B$117:$B$173,$B16,'Cuadrante Anual'!$H$117:$H$173)</f>
        <v>0</v>
      </c>
      <c r="T16" s="56">
        <f>SUMIF('Cuadrante Anual'!$B$117:$B$173,$B16,'Cuadrante Anual'!$E$117:$E$173)</f>
        <v>0</v>
      </c>
      <c r="U16" s="57">
        <f>SUMIF('Cuadrante Anual'!$B$174:$B$230,$B16,'Cuadrante Anual'!$C$174:$C$230)</f>
        <v>0</v>
      </c>
      <c r="V16" s="57">
        <f>SUMIF('Cuadrante Anual'!$B$174:$B$230,$B16,'Cuadrante Anual'!$D$174:$D$230)</f>
        <v>0</v>
      </c>
      <c r="W16" s="57">
        <f>SUMIF('Cuadrante Anual'!$B$174:$B$230,$B16,'Cuadrante Anual'!$F$174:$F$230)</f>
        <v>0</v>
      </c>
      <c r="X16" s="57">
        <f>SUMIF('Cuadrante Anual'!$B$174:$B$230,$B16,'Cuadrante Anual'!$G$174:$G$230)</f>
        <v>0</v>
      </c>
      <c r="Y16" s="57">
        <f>SUMIF('Cuadrante Anual'!$B$174:$B$230,$B16,'Cuadrante Anual'!$H$174:$H$230)</f>
        <v>0</v>
      </c>
      <c r="Z16" s="57">
        <f>SUMIF('Cuadrante Anual'!$B$174:$B$230,$B16,'Cuadrante Anual'!$E$174:$E$230)</f>
        <v>0</v>
      </c>
      <c r="AA16" s="58">
        <f t="shared" si="0"/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58">
        <f t="shared" si="4"/>
        <v>0</v>
      </c>
      <c r="AF16" s="58">
        <f t="shared" si="5"/>
        <v>0</v>
      </c>
      <c r="AG16" s="49">
        <f t="shared" ca="1" si="6"/>
        <v>0</v>
      </c>
      <c r="AH16" s="42">
        <f t="shared" si="7"/>
        <v>0</v>
      </c>
    </row>
    <row r="17" spans="1:34" x14ac:dyDescent="0.2">
      <c r="A17" s="52" t="str">
        <f ca="1">IF(Residentes!A18="","",Residentes!C18)</f>
        <v>R1</v>
      </c>
      <c r="B17" s="43" t="str">
        <f>IF(Residentes!A18="","",Residentes!A18)</f>
        <v>Stephanie Aparicio</v>
      </c>
      <c r="C17" s="56">
        <f>SUMIF('Cuadrante Anual'!$B$3:$B$59,$B17,'Cuadrante Anual'!$C$3:$C$59)</f>
        <v>0</v>
      </c>
      <c r="D17" s="56">
        <f>SUMIF('Cuadrante Anual'!$B$3:$B$59,$B17,'Cuadrante Anual'!$D$3:$D$59)</f>
        <v>0</v>
      </c>
      <c r="E17" s="56">
        <f>SUMIF('Cuadrante Anual'!$B$3:$B$59,$B17,'Cuadrante Anual'!$F$3:$F$59)</f>
        <v>0</v>
      </c>
      <c r="F17" s="56">
        <f>SUMIF('Cuadrante Anual'!$B$3:$B$59,$B17,'Cuadrante Anual'!$G$3:$G$59)</f>
        <v>0</v>
      </c>
      <c r="G17" s="56">
        <f>SUMIF('Cuadrante Anual'!$B$3:$B$59,$B17,'Cuadrante Anual'!$H$3:$H$59)</f>
        <v>0</v>
      </c>
      <c r="H17" s="56">
        <f>SUMIF('Cuadrante Anual'!$B$3:$B$59,$B17,'Cuadrante Anual'!$E$3:$E$59)</f>
        <v>0</v>
      </c>
      <c r="I17" s="57">
        <f>SUMIF('Cuadrante Anual'!$B$60:$B$116,$B17,'Cuadrante Anual'!$C$60:$C$116)</f>
        <v>0</v>
      </c>
      <c r="J17" s="57">
        <f>SUMIF('Cuadrante Anual'!$B$60:$B$116,$B17,'Cuadrante Anual'!$D$60:$D$116)</f>
        <v>0</v>
      </c>
      <c r="K17" s="57">
        <f>SUMIF('Cuadrante Anual'!$B$60:$B$116,$B17,'Cuadrante Anual'!$F$60:$F$116)</f>
        <v>0</v>
      </c>
      <c r="L17" s="57">
        <f>SUMIF('Cuadrante Anual'!$B$60:$B$116,$B17,'Cuadrante Anual'!$G$60:$G$116)</f>
        <v>0</v>
      </c>
      <c r="M17" s="57">
        <f>SUMIF('Cuadrante Anual'!$B$60:$B$116,$B17,'Cuadrante Anual'!$H$60:$H$116)</f>
        <v>0</v>
      </c>
      <c r="N17" s="57">
        <f>SUMIF('Cuadrante Anual'!$B$60:$B$116,$B17,'Cuadrante Anual'!$E$60:$E$116)</f>
        <v>0</v>
      </c>
      <c r="O17" s="56">
        <f>SUMIF('Cuadrante Anual'!$B$117:$B$173,$B17,'Cuadrante Anual'!$C$117:$C$173)</f>
        <v>0</v>
      </c>
      <c r="P17" s="56">
        <f>SUMIF('Cuadrante Anual'!$B$117:$B$173,$B17,'Cuadrante Anual'!$D$117:$D$173)</f>
        <v>0</v>
      </c>
      <c r="Q17" s="56">
        <f>SUMIF('Cuadrante Anual'!$B$117:$B$173,$B17,'Cuadrante Anual'!$F$117:$F$173)</f>
        <v>0</v>
      </c>
      <c r="R17" s="56">
        <f>SUMIF('Cuadrante Anual'!$B$117:$B$173,$B17,'Cuadrante Anual'!$G$117:$G$173)</f>
        <v>0</v>
      </c>
      <c r="S17" s="56">
        <f>SUMIF('Cuadrante Anual'!$B$117:$B$173,$B17,'Cuadrante Anual'!$H$117:$H$173)</f>
        <v>0</v>
      </c>
      <c r="T17" s="56">
        <f>SUMIF('Cuadrante Anual'!$B$117:$B$173,$B17,'Cuadrante Anual'!$E$117:$E$173)</f>
        <v>0</v>
      </c>
      <c r="U17" s="57">
        <f>SUMIF('Cuadrante Anual'!$B$174:$B$230,$B17,'Cuadrante Anual'!$C$174:$C$230)</f>
        <v>0</v>
      </c>
      <c r="V17" s="57">
        <f>SUMIF('Cuadrante Anual'!$B$174:$B$230,$B17,'Cuadrante Anual'!$D$174:$D$230)</f>
        <v>0</v>
      </c>
      <c r="W17" s="57">
        <f>SUMIF('Cuadrante Anual'!$B$174:$B$230,$B17,'Cuadrante Anual'!$F$174:$F$230)</f>
        <v>0</v>
      </c>
      <c r="X17" s="57">
        <f>SUMIF('Cuadrante Anual'!$B$174:$B$230,$B17,'Cuadrante Anual'!$G$174:$G$230)</f>
        <v>0</v>
      </c>
      <c r="Y17" s="57">
        <f>SUMIF('Cuadrante Anual'!$B$174:$B$230,$B17,'Cuadrante Anual'!$H$174:$H$230)</f>
        <v>0</v>
      </c>
      <c r="Z17" s="57">
        <f>SUMIF('Cuadrante Anual'!$B$174:$B$230,$B17,'Cuadrante Anual'!$E$174:$E$230)</f>
        <v>0</v>
      </c>
      <c r="AA17" s="58">
        <f t="shared" si="0"/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58">
        <f t="shared" si="4"/>
        <v>0</v>
      </c>
      <c r="AF17" s="58">
        <f t="shared" si="5"/>
        <v>0</v>
      </c>
      <c r="AG17" s="49">
        <f t="shared" ca="1" si="6"/>
        <v>0</v>
      </c>
      <c r="AH17" s="42">
        <f t="shared" si="7"/>
        <v>0</v>
      </c>
    </row>
    <row r="18" spans="1:34" x14ac:dyDescent="0.2">
      <c r="A18" s="52" t="str">
        <f ca="1">IF(Residentes!A19="","",Residentes!C19)</f>
        <v>R1</v>
      </c>
      <c r="B18" s="43" t="str">
        <f>IF(Residentes!A19="","",Residentes!A19)</f>
        <v>Marta Martínez</v>
      </c>
      <c r="C18" s="56">
        <f>SUMIF('Cuadrante Anual'!$B$3:$B$59,$B18,'Cuadrante Anual'!$C$3:$C$59)</f>
        <v>0</v>
      </c>
      <c r="D18" s="56">
        <f>SUMIF('Cuadrante Anual'!$B$3:$B$59,$B18,'Cuadrante Anual'!$D$3:$D$59)</f>
        <v>0</v>
      </c>
      <c r="E18" s="56">
        <f>SUMIF('Cuadrante Anual'!$B$3:$B$59,$B18,'Cuadrante Anual'!$F$3:$F$59)</f>
        <v>0</v>
      </c>
      <c r="F18" s="56">
        <f>SUMIF('Cuadrante Anual'!$B$3:$B$59,$B18,'Cuadrante Anual'!$G$3:$G$59)</f>
        <v>0</v>
      </c>
      <c r="G18" s="56">
        <f>SUMIF('Cuadrante Anual'!$B$3:$B$59,$B18,'Cuadrante Anual'!$H$3:$H$59)</f>
        <v>0</v>
      </c>
      <c r="H18" s="56">
        <f>SUMIF('Cuadrante Anual'!$B$3:$B$59,$B18,'Cuadrante Anual'!$E$3:$E$59)</f>
        <v>0</v>
      </c>
      <c r="I18" s="57">
        <f>SUMIF('Cuadrante Anual'!$B$60:$B$116,$B18,'Cuadrante Anual'!$C$60:$C$116)</f>
        <v>0</v>
      </c>
      <c r="J18" s="57">
        <f>SUMIF('Cuadrante Anual'!$B$60:$B$116,$B18,'Cuadrante Anual'!$D$60:$D$116)</f>
        <v>0</v>
      </c>
      <c r="K18" s="57">
        <f>SUMIF('Cuadrante Anual'!$B$60:$B$116,$B18,'Cuadrante Anual'!$F$60:$F$116)</f>
        <v>0</v>
      </c>
      <c r="L18" s="57">
        <f>SUMIF('Cuadrante Anual'!$B$60:$B$116,$B18,'Cuadrante Anual'!$G$60:$G$116)</f>
        <v>0</v>
      </c>
      <c r="M18" s="57">
        <f>SUMIF('Cuadrante Anual'!$B$60:$B$116,$B18,'Cuadrante Anual'!$H$60:$H$116)</f>
        <v>0</v>
      </c>
      <c r="N18" s="57">
        <f>SUMIF('Cuadrante Anual'!$B$60:$B$116,$B18,'Cuadrante Anual'!$E$60:$E$116)</f>
        <v>0</v>
      </c>
      <c r="O18" s="56">
        <f>SUMIF('Cuadrante Anual'!$B$117:$B$173,$B18,'Cuadrante Anual'!$C$117:$C$173)</f>
        <v>0</v>
      </c>
      <c r="P18" s="56">
        <f>SUMIF('Cuadrante Anual'!$B$117:$B$173,$B18,'Cuadrante Anual'!$D$117:$D$173)</f>
        <v>0</v>
      </c>
      <c r="Q18" s="56">
        <f>SUMIF('Cuadrante Anual'!$B$117:$B$173,$B18,'Cuadrante Anual'!$F$117:$F$173)</f>
        <v>0</v>
      </c>
      <c r="R18" s="56">
        <f>SUMIF('Cuadrante Anual'!$B$117:$B$173,$B18,'Cuadrante Anual'!$G$117:$G$173)</f>
        <v>0</v>
      </c>
      <c r="S18" s="56">
        <f>SUMIF('Cuadrante Anual'!$B$117:$B$173,$B18,'Cuadrante Anual'!$H$117:$H$173)</f>
        <v>0</v>
      </c>
      <c r="T18" s="56">
        <f>SUMIF('Cuadrante Anual'!$B$117:$B$173,$B18,'Cuadrante Anual'!$E$117:$E$173)</f>
        <v>0</v>
      </c>
      <c r="U18" s="57">
        <f>SUMIF('Cuadrante Anual'!$B$174:$B$230,$B18,'Cuadrante Anual'!$C$174:$C$230)</f>
        <v>0</v>
      </c>
      <c r="V18" s="57">
        <f>SUMIF('Cuadrante Anual'!$B$174:$B$230,$B18,'Cuadrante Anual'!$D$174:$D$230)</f>
        <v>0</v>
      </c>
      <c r="W18" s="57">
        <f>SUMIF('Cuadrante Anual'!$B$174:$B$230,$B18,'Cuadrante Anual'!$F$174:$F$230)</f>
        <v>0</v>
      </c>
      <c r="X18" s="57">
        <f>SUMIF('Cuadrante Anual'!$B$174:$B$230,$B18,'Cuadrante Anual'!$G$174:$G$230)</f>
        <v>0</v>
      </c>
      <c r="Y18" s="57">
        <f>SUMIF('Cuadrante Anual'!$B$174:$B$230,$B18,'Cuadrante Anual'!$H$174:$H$230)</f>
        <v>0</v>
      </c>
      <c r="Z18" s="57">
        <f>SUMIF('Cuadrante Anual'!$B$174:$B$230,$B18,'Cuadrante Anual'!$E$174:$E$230)</f>
        <v>0</v>
      </c>
      <c r="AA18" s="58">
        <f t="shared" si="0"/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58">
        <f t="shared" si="4"/>
        <v>0</v>
      </c>
      <c r="AF18" s="58">
        <f t="shared" si="5"/>
        <v>0</v>
      </c>
      <c r="AG18" s="49">
        <f t="shared" ca="1" si="6"/>
        <v>0</v>
      </c>
      <c r="AH18" s="42">
        <f t="shared" si="7"/>
        <v>0</v>
      </c>
    </row>
    <row r="19" spans="1:34" ht="18.75" customHeight="1" x14ac:dyDescent="0.2">
      <c r="A19" s="52" t="str">
        <f ca="1">IF(Residentes!A20="","",Residentes!C20)</f>
        <v>R1</v>
      </c>
      <c r="B19" s="43" t="str">
        <f>IF(Residentes!A20="","",Residentes!A20)</f>
        <v>Manuel Cortés</v>
      </c>
      <c r="C19" s="56">
        <f>SUMIF('Cuadrante Anual'!$B$3:$B$59,$B19,'Cuadrante Anual'!$C$3:$C$59)</f>
        <v>0</v>
      </c>
      <c r="D19" s="56">
        <f>SUMIF('Cuadrante Anual'!$B$3:$B$59,$B19,'Cuadrante Anual'!$D$3:$D$59)</f>
        <v>0</v>
      </c>
      <c r="E19" s="56">
        <f>SUMIF('Cuadrante Anual'!$B$3:$B$59,$B19,'Cuadrante Anual'!$F$3:$F$59)</f>
        <v>0</v>
      </c>
      <c r="F19" s="56">
        <f>SUMIF('Cuadrante Anual'!$B$3:$B$59,$B19,'Cuadrante Anual'!$G$3:$G$59)</f>
        <v>0</v>
      </c>
      <c r="G19" s="56">
        <f>SUMIF('Cuadrante Anual'!$B$3:$B$59,$B19,'Cuadrante Anual'!$H$3:$H$59)</f>
        <v>0</v>
      </c>
      <c r="H19" s="56">
        <f>SUMIF('Cuadrante Anual'!$B$3:$B$59,$B19,'Cuadrante Anual'!$E$3:$E$59)</f>
        <v>0</v>
      </c>
      <c r="I19" s="57">
        <f>SUMIF('Cuadrante Anual'!$B$60:$B$116,$B19,'Cuadrante Anual'!$C$60:$C$116)</f>
        <v>0</v>
      </c>
      <c r="J19" s="57">
        <f>SUMIF('Cuadrante Anual'!$B$60:$B$116,$B19,'Cuadrante Anual'!$D$60:$D$116)</f>
        <v>0</v>
      </c>
      <c r="K19" s="57">
        <f>SUMIF('Cuadrante Anual'!$B$60:$B$116,$B19,'Cuadrante Anual'!$F$60:$F$116)</f>
        <v>0</v>
      </c>
      <c r="L19" s="57">
        <f>SUMIF('Cuadrante Anual'!$B$60:$B$116,$B19,'Cuadrante Anual'!$G$60:$G$116)</f>
        <v>0</v>
      </c>
      <c r="M19" s="57">
        <f>SUMIF('Cuadrante Anual'!$B$60:$B$116,$B19,'Cuadrante Anual'!$H$60:$H$116)</f>
        <v>0</v>
      </c>
      <c r="N19" s="57">
        <f>SUMIF('Cuadrante Anual'!$B$60:$B$116,$B19,'Cuadrante Anual'!$E$60:$E$116)</f>
        <v>0</v>
      </c>
      <c r="O19" s="56">
        <f>SUMIF('Cuadrante Anual'!$B$117:$B$173,$B19,'Cuadrante Anual'!$C$117:$C$173)</f>
        <v>0</v>
      </c>
      <c r="P19" s="56">
        <f>SUMIF('Cuadrante Anual'!$B$117:$B$173,$B19,'Cuadrante Anual'!$D$117:$D$173)</f>
        <v>0</v>
      </c>
      <c r="Q19" s="56">
        <f>SUMIF('Cuadrante Anual'!$B$117:$B$173,$B19,'Cuadrante Anual'!$F$117:$F$173)</f>
        <v>0</v>
      </c>
      <c r="R19" s="56">
        <f>SUMIF('Cuadrante Anual'!$B$117:$B$173,$B19,'Cuadrante Anual'!$G$117:$G$173)</f>
        <v>0</v>
      </c>
      <c r="S19" s="56">
        <f>SUMIF('Cuadrante Anual'!$B$117:$B$173,$B19,'Cuadrante Anual'!$H$117:$H$173)</f>
        <v>0</v>
      </c>
      <c r="T19" s="56">
        <f>SUMIF('Cuadrante Anual'!$B$117:$B$173,$B19,'Cuadrante Anual'!$E$117:$E$173)</f>
        <v>0</v>
      </c>
      <c r="U19" s="57">
        <f>SUMIF('Cuadrante Anual'!$B$174:$B$230,$B19,'Cuadrante Anual'!$C$174:$C$230)</f>
        <v>0</v>
      </c>
      <c r="V19" s="57">
        <f>SUMIF('Cuadrante Anual'!$B$174:$B$230,$B19,'Cuadrante Anual'!$D$174:$D$230)</f>
        <v>0</v>
      </c>
      <c r="W19" s="57">
        <f>SUMIF('Cuadrante Anual'!$B$174:$B$230,$B19,'Cuadrante Anual'!$F$174:$F$230)</f>
        <v>0</v>
      </c>
      <c r="X19" s="57">
        <f>SUMIF('Cuadrante Anual'!$B$174:$B$230,$B19,'Cuadrante Anual'!$G$174:$G$230)</f>
        <v>0</v>
      </c>
      <c r="Y19" s="57">
        <f>SUMIF('Cuadrante Anual'!$B$174:$B$230,$B19,'Cuadrante Anual'!$H$174:$H$230)</f>
        <v>0</v>
      </c>
      <c r="Z19" s="57">
        <f>SUMIF('Cuadrante Anual'!$B$174:$B$230,$B19,'Cuadrante Anual'!$E$174:$E$230)</f>
        <v>0</v>
      </c>
      <c r="AA19" s="58">
        <f t="shared" si="0"/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58">
        <f t="shared" si="4"/>
        <v>0</v>
      </c>
      <c r="AF19" s="58">
        <f t="shared" si="5"/>
        <v>0</v>
      </c>
      <c r="AG19" s="49">
        <f t="shared" ca="1" si="6"/>
        <v>0</v>
      </c>
      <c r="AH19" s="42">
        <f t="shared" si="7"/>
        <v>0</v>
      </c>
    </row>
    <row r="20" spans="1:34" ht="18.75" customHeight="1" x14ac:dyDescent="0.2"/>
    <row r="21" spans="1:34" ht="18.75" customHeight="1" x14ac:dyDescent="0.2"/>
    <row r="22" spans="1:34" ht="18.75" customHeight="1" x14ac:dyDescent="0.2"/>
    <row r="23" spans="1:34" ht="3.7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</row>
  </sheetData>
  <mergeCells count="7">
    <mergeCell ref="AG3:AG4"/>
    <mergeCell ref="A1:AB1"/>
    <mergeCell ref="C3:H3"/>
    <mergeCell ref="I3:N3"/>
    <mergeCell ref="O3:T3"/>
    <mergeCell ref="U3:Z3"/>
    <mergeCell ref="AA3:AF3"/>
  </mergeCells>
  <conditionalFormatting sqref="A5:A19">
    <cfRule type="expression" dxfId="4" priority="1">
      <formula>$A5="R4"</formula>
    </cfRule>
    <cfRule type="expression" dxfId="3" priority="2">
      <formula>$A5="R3"</formula>
    </cfRule>
    <cfRule type="expression" dxfId="2" priority="3">
      <formula>$A5="R2"</formula>
    </cfRule>
    <cfRule type="expression" dxfId="1" priority="4">
      <formula>$A5="R1"</formula>
    </cfRule>
    <cfRule type="expression" dxfId="0" priority="5">
      <formula>$A5="Finalizado"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L23"/>
  <sheetViews>
    <sheetView showGridLines="0" zoomScaleNormal="100" workbookViewId="0">
      <selection activeCell="A14" sqref="A14"/>
    </sheetView>
  </sheetViews>
  <sheetFormatPr baseColWidth="10" defaultColWidth="8.6640625" defaultRowHeight="15" x14ac:dyDescent="0.2"/>
  <cols>
    <col min="1" max="1" width="6" customWidth="1"/>
    <col min="2" max="2" width="22" customWidth="1"/>
    <col min="3" max="3" width="10" customWidth="1"/>
    <col min="4" max="4" width="8" customWidth="1"/>
    <col min="5" max="11" width="7" customWidth="1"/>
    <col min="12" max="12" width="20" customWidth="1"/>
  </cols>
  <sheetData>
    <row r="1" spans="1:12" ht="33.75" customHeight="1" x14ac:dyDescent="0.2">
      <c r="A1" s="65" t="s">
        <v>51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12" ht="13.5" customHeight="1" x14ac:dyDescent="0.2">
      <c r="A2" s="75" t="s">
        <v>52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4" spans="1:12" ht="27.75" customHeight="1" x14ac:dyDescent="0.2">
      <c r="A4" s="1" t="s">
        <v>9</v>
      </c>
      <c r="B4" s="1" t="s">
        <v>10</v>
      </c>
      <c r="C4" s="1" t="s">
        <v>53</v>
      </c>
      <c r="D4" s="1" t="s">
        <v>54</v>
      </c>
      <c r="E4" s="1" t="s">
        <v>55</v>
      </c>
      <c r="F4" s="1" t="s">
        <v>56</v>
      </c>
      <c r="G4" s="1" t="s">
        <v>57</v>
      </c>
      <c r="H4" s="1" t="s">
        <v>58</v>
      </c>
      <c r="I4" s="1" t="s">
        <v>59</v>
      </c>
      <c r="J4" s="1" t="s">
        <v>60</v>
      </c>
      <c r="K4" s="1" t="s">
        <v>61</v>
      </c>
      <c r="L4" s="1" t="s">
        <v>62</v>
      </c>
    </row>
    <row r="5" spans="1:12" ht="18.75" customHeight="1" x14ac:dyDescent="0.2">
      <c r="A5" s="2" t="s">
        <v>16</v>
      </c>
      <c r="B5" s="8" t="s">
        <v>17</v>
      </c>
      <c r="C5" s="6" t="s">
        <v>63</v>
      </c>
      <c r="D5" s="4">
        <f>SUM(E5:K5)</f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6"/>
    </row>
    <row r="6" spans="1:12" ht="18.75" customHeight="1" x14ac:dyDescent="0.2">
      <c r="A6" s="2"/>
      <c r="B6" s="7" t="s">
        <v>18</v>
      </c>
      <c r="C6" s="6" t="s">
        <v>63</v>
      </c>
      <c r="D6" s="4">
        <f>SUM(E6:K6)</f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6"/>
    </row>
    <row r="7" spans="1:12" ht="18.75" customHeight="1" x14ac:dyDescent="0.2">
      <c r="A7" s="2"/>
      <c r="B7" s="8" t="s">
        <v>19</v>
      </c>
      <c r="C7" s="6" t="s">
        <v>63</v>
      </c>
      <c r="D7" s="4">
        <f>SUM(E7:K7)</f>
        <v>0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6"/>
    </row>
    <row r="8" spans="1:12" ht="3.7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ht="18.75" customHeight="1" x14ac:dyDescent="0.2">
      <c r="A9" s="3" t="s">
        <v>20</v>
      </c>
      <c r="B9" s="8" t="s">
        <v>21</v>
      </c>
      <c r="C9" s="6" t="s">
        <v>63</v>
      </c>
      <c r="D9" s="4">
        <f>SUM(E9:K9)</f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6"/>
    </row>
    <row r="10" spans="1:12" ht="18.75" customHeight="1" x14ac:dyDescent="0.2">
      <c r="A10" s="3"/>
      <c r="B10" s="7" t="s">
        <v>22</v>
      </c>
      <c r="C10" s="6" t="s">
        <v>63</v>
      </c>
      <c r="D10" s="4">
        <f>SUM(E10:K10)</f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6"/>
    </row>
    <row r="11" spans="1:12" ht="18.75" customHeight="1" x14ac:dyDescent="0.2">
      <c r="A11" s="3"/>
      <c r="B11" s="8" t="s">
        <v>23</v>
      </c>
      <c r="C11" s="6" t="s">
        <v>63</v>
      </c>
      <c r="D11" s="4">
        <f>SUM(E11:K11)</f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6"/>
    </row>
    <row r="12" spans="1:12" ht="18.75" customHeight="1" x14ac:dyDescent="0.2">
      <c r="A12" s="3"/>
      <c r="B12" s="7" t="s">
        <v>24</v>
      </c>
      <c r="C12" s="6" t="s">
        <v>63</v>
      </c>
      <c r="D12" s="4">
        <f>SUM(E12:K12)</f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6"/>
    </row>
    <row r="13" spans="1:12" ht="3.75" customHeight="1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ht="18.75" customHeight="1" x14ac:dyDescent="0.2">
      <c r="A14" s="24" t="s">
        <v>25</v>
      </c>
      <c r="B14" s="8" t="s">
        <v>26</v>
      </c>
      <c r="C14" s="6" t="s">
        <v>63</v>
      </c>
      <c r="D14" s="4">
        <f>SUM(E14:K14)</f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6"/>
    </row>
    <row r="15" spans="1:12" ht="18.75" customHeight="1" x14ac:dyDescent="0.2">
      <c r="A15" s="10"/>
      <c r="B15" s="7" t="s">
        <v>27</v>
      </c>
      <c r="C15" s="6" t="s">
        <v>63</v>
      </c>
      <c r="D15" s="4">
        <f>SUM(E15:K15)</f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6"/>
    </row>
    <row r="16" spans="1:12" ht="18.75" customHeight="1" x14ac:dyDescent="0.2">
      <c r="A16" s="10"/>
      <c r="B16" s="8" t="s">
        <v>28</v>
      </c>
      <c r="C16" s="6" t="s">
        <v>63</v>
      </c>
      <c r="D16" s="4">
        <f>SUM(E16:K16)</f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6"/>
    </row>
    <row r="17" spans="1:12" ht="18.75" customHeight="1" x14ac:dyDescent="0.2">
      <c r="A17" s="10"/>
      <c r="B17" s="7" t="s">
        <v>29</v>
      </c>
      <c r="C17" s="6" t="s">
        <v>63</v>
      </c>
      <c r="D17" s="4">
        <f>SUM(E17:K17)</f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6"/>
    </row>
    <row r="18" spans="1:12" ht="3.75" customHeight="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 ht="18.75" customHeight="1" x14ac:dyDescent="0.2">
      <c r="A19" s="23" t="s">
        <v>30</v>
      </c>
      <c r="B19" s="8" t="s">
        <v>31</v>
      </c>
      <c r="C19" s="6" t="s">
        <v>63</v>
      </c>
      <c r="D19" s="4">
        <f>SUM(E19:K19)</f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6"/>
    </row>
    <row r="20" spans="1:12" ht="18.75" customHeight="1" x14ac:dyDescent="0.2">
      <c r="A20" s="11"/>
      <c r="B20" s="7" t="s">
        <v>32</v>
      </c>
      <c r="C20" s="6" t="s">
        <v>63</v>
      </c>
      <c r="D20" s="4">
        <f>SUM(E20:K20)</f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6"/>
    </row>
    <row r="21" spans="1:12" ht="18.75" customHeight="1" x14ac:dyDescent="0.2">
      <c r="A21" s="11"/>
      <c r="B21" s="8" t="s">
        <v>33</v>
      </c>
      <c r="C21" s="6" t="s">
        <v>63</v>
      </c>
      <c r="D21" s="4">
        <f>SUM(E21:K21)</f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6"/>
    </row>
    <row r="22" spans="1:12" ht="18.75" customHeight="1" x14ac:dyDescent="0.2">
      <c r="A22" s="11"/>
      <c r="B22" s="7" t="s">
        <v>34</v>
      </c>
      <c r="C22" s="6" t="s">
        <v>63</v>
      </c>
      <c r="D22" s="4">
        <f>SUM(E22:K22)</f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6"/>
    </row>
    <row r="23" spans="1:12" ht="3.7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</sheetData>
  <mergeCells count="2">
    <mergeCell ref="A1:L1"/>
    <mergeCell ref="A2:L2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23"/>
  <sheetViews>
    <sheetView showGridLines="0" zoomScaleNormal="100" workbookViewId="0">
      <selection activeCell="A14" sqref="A14:G14"/>
    </sheetView>
  </sheetViews>
  <sheetFormatPr baseColWidth="10" defaultColWidth="8.6640625" defaultRowHeight="15" x14ac:dyDescent="0.2"/>
  <cols>
    <col min="1" max="2" width="6" customWidth="1"/>
    <col min="3" max="3" width="22" customWidth="1"/>
    <col min="4" max="4" width="12" customWidth="1"/>
    <col min="5" max="5" width="14" customWidth="1"/>
    <col min="6" max="6" width="12" customWidth="1"/>
    <col min="7" max="7" width="22" customWidth="1"/>
  </cols>
  <sheetData>
    <row r="1" spans="1:7" ht="33.75" customHeight="1" x14ac:dyDescent="0.2">
      <c r="A1" s="65" t="s">
        <v>64</v>
      </c>
      <c r="B1" s="65"/>
      <c r="C1" s="65"/>
      <c r="D1" s="65"/>
      <c r="E1" s="65"/>
      <c r="F1" s="65"/>
      <c r="G1" s="65"/>
    </row>
    <row r="2" spans="1:7" ht="13.5" customHeight="1" x14ac:dyDescent="0.2">
      <c r="A2" s="75" t="s">
        <v>65</v>
      </c>
      <c r="B2" s="75"/>
      <c r="C2" s="75"/>
      <c r="D2" s="75"/>
      <c r="E2" s="75"/>
      <c r="F2" s="75"/>
      <c r="G2" s="75"/>
    </row>
    <row r="4" spans="1:7" ht="21.75" customHeight="1" x14ac:dyDescent="0.2">
      <c r="A4" s="76" t="s">
        <v>66</v>
      </c>
      <c r="B4" s="76"/>
      <c r="C4" s="76"/>
      <c r="D4" s="76"/>
      <c r="E4" s="76"/>
      <c r="F4" s="76"/>
      <c r="G4" s="76"/>
    </row>
    <row r="5" spans="1:7" ht="27.75" customHeight="1" x14ac:dyDescent="0.2">
      <c r="A5" s="1" t="s">
        <v>67</v>
      </c>
      <c r="B5" s="1" t="s">
        <v>9</v>
      </c>
      <c r="C5" s="1" t="s">
        <v>10</v>
      </c>
      <c r="D5" s="1" t="s">
        <v>68</v>
      </c>
      <c r="E5" s="1" t="s">
        <v>69</v>
      </c>
      <c r="F5" s="1" t="s">
        <v>70</v>
      </c>
      <c r="G5" s="1" t="s">
        <v>62</v>
      </c>
    </row>
    <row r="6" spans="1:7" ht="18.75" customHeight="1" x14ac:dyDescent="0.2">
      <c r="A6" s="17">
        <v>1</v>
      </c>
      <c r="B6" s="12" t="s">
        <v>16</v>
      </c>
      <c r="C6" s="8" t="s">
        <v>17</v>
      </c>
      <c r="D6" s="12">
        <v>0</v>
      </c>
      <c r="E6" s="12"/>
      <c r="F6" s="12"/>
      <c r="G6" s="12"/>
    </row>
    <row r="7" spans="1:7" ht="18.75" customHeight="1" x14ac:dyDescent="0.2">
      <c r="A7" s="18">
        <v>2</v>
      </c>
      <c r="B7" s="13" t="s">
        <v>16</v>
      </c>
      <c r="C7" s="7" t="s">
        <v>18</v>
      </c>
      <c r="D7" s="13">
        <v>0</v>
      </c>
      <c r="E7" s="13"/>
      <c r="F7" s="13"/>
      <c r="G7" s="13"/>
    </row>
    <row r="8" spans="1:7" ht="18.75" customHeight="1" x14ac:dyDescent="0.2">
      <c r="A8" s="17">
        <v>3</v>
      </c>
      <c r="B8" s="12" t="s">
        <v>16</v>
      </c>
      <c r="C8" s="8" t="s">
        <v>19</v>
      </c>
      <c r="D8" s="12">
        <v>0</v>
      </c>
      <c r="E8" s="12"/>
      <c r="F8" s="12"/>
      <c r="G8" s="12"/>
    </row>
    <row r="9" spans="1:7" ht="18.75" customHeight="1" x14ac:dyDescent="0.2">
      <c r="A9" s="18">
        <v>4</v>
      </c>
      <c r="B9" s="13" t="s">
        <v>20</v>
      </c>
      <c r="C9" s="7" t="s">
        <v>21</v>
      </c>
      <c r="D9" s="13">
        <v>0</v>
      </c>
      <c r="E9" s="13"/>
      <c r="F9" s="13"/>
      <c r="G9" s="13"/>
    </row>
    <row r="10" spans="1:7" ht="18.75" customHeight="1" x14ac:dyDescent="0.2">
      <c r="A10" s="17">
        <v>5</v>
      </c>
      <c r="B10" s="12" t="s">
        <v>20</v>
      </c>
      <c r="C10" s="8" t="s">
        <v>22</v>
      </c>
      <c r="D10" s="12">
        <v>0</v>
      </c>
      <c r="E10" s="12"/>
      <c r="F10" s="12"/>
      <c r="G10" s="12"/>
    </row>
    <row r="11" spans="1:7" ht="18.75" customHeight="1" x14ac:dyDescent="0.2">
      <c r="A11" s="18">
        <v>6</v>
      </c>
      <c r="B11" s="13" t="s">
        <v>20</v>
      </c>
      <c r="C11" s="7" t="s">
        <v>23</v>
      </c>
      <c r="D11" s="13">
        <v>0</v>
      </c>
      <c r="E11" s="13"/>
      <c r="F11" s="13"/>
      <c r="G11" s="13"/>
    </row>
    <row r="12" spans="1:7" ht="18.75" customHeight="1" x14ac:dyDescent="0.2">
      <c r="A12" s="17">
        <v>7</v>
      </c>
      <c r="B12" s="12" t="s">
        <v>20</v>
      </c>
      <c r="C12" s="8" t="s">
        <v>24</v>
      </c>
      <c r="D12" s="12">
        <v>0</v>
      </c>
      <c r="E12" s="12"/>
      <c r="F12" s="12"/>
      <c r="G12" s="12"/>
    </row>
    <row r="14" spans="1:7" ht="21.75" customHeight="1" x14ac:dyDescent="0.2">
      <c r="A14" s="77" t="s">
        <v>71</v>
      </c>
      <c r="B14" s="77"/>
      <c r="C14" s="77"/>
      <c r="D14" s="77"/>
      <c r="E14" s="77"/>
      <c r="F14" s="77"/>
      <c r="G14" s="77"/>
    </row>
    <row r="15" spans="1:7" ht="27.75" customHeight="1" x14ac:dyDescent="0.2">
      <c r="A15" s="1" t="s">
        <v>67</v>
      </c>
      <c r="B15" s="1" t="s">
        <v>9</v>
      </c>
      <c r="C15" s="1" t="s">
        <v>10</v>
      </c>
      <c r="D15" s="1" t="s">
        <v>68</v>
      </c>
      <c r="E15" s="1" t="s">
        <v>69</v>
      </c>
      <c r="F15" s="1" t="s">
        <v>70</v>
      </c>
      <c r="G15" s="1" t="s">
        <v>62</v>
      </c>
    </row>
    <row r="16" spans="1:7" ht="18.75" customHeight="1" x14ac:dyDescent="0.2">
      <c r="A16" s="17">
        <v>1</v>
      </c>
      <c r="B16" s="12" t="s">
        <v>25</v>
      </c>
      <c r="C16" s="8" t="s">
        <v>26</v>
      </c>
      <c r="D16" s="12">
        <v>0</v>
      </c>
      <c r="E16" s="12"/>
      <c r="F16" s="12"/>
      <c r="G16" s="12"/>
    </row>
    <row r="17" spans="1:7" ht="18.75" customHeight="1" x14ac:dyDescent="0.2">
      <c r="A17" s="18">
        <v>2</v>
      </c>
      <c r="B17" s="13" t="s">
        <v>25</v>
      </c>
      <c r="C17" s="7" t="s">
        <v>27</v>
      </c>
      <c r="D17" s="13">
        <v>0</v>
      </c>
      <c r="E17" s="13"/>
      <c r="F17" s="13"/>
      <c r="G17" s="13"/>
    </row>
    <row r="18" spans="1:7" ht="18.75" customHeight="1" x14ac:dyDescent="0.2">
      <c r="A18" s="17">
        <v>3</v>
      </c>
      <c r="B18" s="12" t="s">
        <v>25</v>
      </c>
      <c r="C18" s="8" t="s">
        <v>28</v>
      </c>
      <c r="D18" s="12">
        <v>0</v>
      </c>
      <c r="E18" s="12"/>
      <c r="F18" s="12"/>
      <c r="G18" s="12"/>
    </row>
    <row r="19" spans="1:7" ht="18.75" customHeight="1" x14ac:dyDescent="0.2">
      <c r="A19" s="18">
        <v>4</v>
      </c>
      <c r="B19" s="13" t="s">
        <v>25</v>
      </c>
      <c r="C19" s="7" t="s">
        <v>29</v>
      </c>
      <c r="D19" s="13">
        <v>0</v>
      </c>
      <c r="E19" s="13"/>
      <c r="F19" s="13"/>
      <c r="G19" s="13"/>
    </row>
    <row r="20" spans="1:7" ht="18.75" customHeight="1" x14ac:dyDescent="0.2">
      <c r="A20" s="17">
        <v>5</v>
      </c>
      <c r="B20" s="12" t="s">
        <v>30</v>
      </c>
      <c r="C20" s="8" t="s">
        <v>31</v>
      </c>
      <c r="D20" s="12">
        <v>0</v>
      </c>
      <c r="E20" s="12"/>
      <c r="F20" s="12"/>
      <c r="G20" s="12"/>
    </row>
    <row r="21" spans="1:7" ht="18.75" customHeight="1" x14ac:dyDescent="0.2">
      <c r="A21" s="18">
        <v>6</v>
      </c>
      <c r="B21" s="13" t="s">
        <v>30</v>
      </c>
      <c r="C21" s="7" t="s">
        <v>32</v>
      </c>
      <c r="D21" s="13">
        <v>0</v>
      </c>
      <c r="E21" s="13"/>
      <c r="F21" s="13"/>
      <c r="G21" s="13"/>
    </row>
    <row r="22" spans="1:7" ht="18.75" customHeight="1" x14ac:dyDescent="0.2">
      <c r="A22" s="17">
        <v>7</v>
      </c>
      <c r="B22" s="12" t="s">
        <v>30</v>
      </c>
      <c r="C22" s="8" t="s">
        <v>33</v>
      </c>
      <c r="D22" s="12">
        <v>0</v>
      </c>
      <c r="E22" s="12"/>
      <c r="F22" s="12"/>
      <c r="G22" s="12"/>
    </row>
    <row r="23" spans="1:7" ht="18.75" customHeight="1" x14ac:dyDescent="0.2">
      <c r="A23" s="18">
        <v>8</v>
      </c>
      <c r="B23" s="13" t="s">
        <v>30</v>
      </c>
      <c r="C23" s="7" t="s">
        <v>34</v>
      </c>
      <c r="D23" s="13">
        <v>0</v>
      </c>
      <c r="E23" s="13"/>
      <c r="F23" s="13"/>
      <c r="G23" s="13"/>
    </row>
  </sheetData>
  <mergeCells count="4">
    <mergeCell ref="A1:G1"/>
    <mergeCell ref="A2:G2"/>
    <mergeCell ref="A4:G4"/>
    <mergeCell ref="A14:G1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0"/>
  <sheetViews>
    <sheetView showGridLines="0" topLeftCell="A2" zoomScale="140" zoomScaleNormal="140" workbookViewId="0">
      <selection activeCell="C24" sqref="C24"/>
    </sheetView>
  </sheetViews>
  <sheetFormatPr baseColWidth="10" defaultColWidth="8.6640625" defaultRowHeight="15" x14ac:dyDescent="0.2"/>
  <cols>
    <col min="1" max="1" width="24.5" bestFit="1" customWidth="1"/>
    <col min="2" max="2" width="28" customWidth="1"/>
    <col min="3" max="3" width="90" customWidth="1"/>
  </cols>
  <sheetData>
    <row r="1" spans="1:3" ht="33.75" customHeight="1" x14ac:dyDescent="0.2">
      <c r="A1" s="65" t="s">
        <v>72</v>
      </c>
      <c r="B1" s="65"/>
      <c r="C1" s="65"/>
    </row>
    <row r="3" spans="1:3" ht="18" customHeight="1" x14ac:dyDescent="0.2">
      <c r="A3" s="5" t="s">
        <v>73</v>
      </c>
      <c r="B3" s="19" t="s">
        <v>74</v>
      </c>
      <c r="C3" s="8"/>
    </row>
    <row r="4" spans="1:3" ht="54" customHeight="1" x14ac:dyDescent="0.2">
      <c r="A4" s="5" t="s">
        <v>75</v>
      </c>
      <c r="B4" s="19" t="s">
        <v>148</v>
      </c>
      <c r="C4" s="8" t="s">
        <v>149</v>
      </c>
    </row>
    <row r="5" spans="1:3" ht="51" customHeight="1" x14ac:dyDescent="0.2">
      <c r="A5" s="5" t="s">
        <v>76</v>
      </c>
      <c r="B5" s="19" t="s">
        <v>150</v>
      </c>
      <c r="C5" s="8" t="s">
        <v>151</v>
      </c>
    </row>
    <row r="6" spans="1:3" ht="40.5" customHeight="1" x14ac:dyDescent="0.2">
      <c r="A6" s="5" t="s">
        <v>77</v>
      </c>
      <c r="B6" s="19" t="s">
        <v>123</v>
      </c>
      <c r="C6" s="8" t="s">
        <v>154</v>
      </c>
    </row>
    <row r="7" spans="1:3" ht="7.5" customHeight="1" x14ac:dyDescent="0.2"/>
    <row r="8" spans="1:3" ht="18" customHeight="1" x14ac:dyDescent="0.2">
      <c r="A8" s="5" t="s">
        <v>78</v>
      </c>
      <c r="B8" s="19" t="s">
        <v>74</v>
      </c>
      <c r="C8" s="8"/>
    </row>
    <row r="9" spans="1:3" ht="18" customHeight="1" x14ac:dyDescent="0.2">
      <c r="A9" s="5" t="s">
        <v>0</v>
      </c>
      <c r="B9" s="19" t="s">
        <v>79</v>
      </c>
      <c r="C9" s="8" t="s">
        <v>80</v>
      </c>
    </row>
    <row r="10" spans="1:3" ht="27.75" customHeight="1" x14ac:dyDescent="0.2">
      <c r="A10" s="5" t="s">
        <v>1</v>
      </c>
      <c r="B10" s="19" t="s">
        <v>2</v>
      </c>
      <c r="C10" s="8" t="s">
        <v>81</v>
      </c>
    </row>
    <row r="11" spans="1:3" ht="27.75" customHeight="1" x14ac:dyDescent="0.2">
      <c r="A11" s="5" t="s">
        <v>3</v>
      </c>
      <c r="B11" s="19" t="s">
        <v>82</v>
      </c>
      <c r="C11" s="8" t="s">
        <v>83</v>
      </c>
    </row>
    <row r="12" spans="1:3" ht="18" customHeight="1" x14ac:dyDescent="0.2">
      <c r="A12" s="5" t="s">
        <v>4</v>
      </c>
      <c r="B12" s="19" t="s">
        <v>5</v>
      </c>
      <c r="C12" s="8" t="s">
        <v>84</v>
      </c>
    </row>
    <row r="13" spans="1:3" ht="18" customHeight="1" x14ac:dyDescent="0.2">
      <c r="A13" s="5" t="s">
        <v>6</v>
      </c>
      <c r="B13" s="19" t="s">
        <v>85</v>
      </c>
      <c r="C13" s="8" t="s">
        <v>86</v>
      </c>
    </row>
    <row r="14" spans="1:3" ht="24.75" customHeight="1" x14ac:dyDescent="0.2">
      <c r="A14" s="5" t="s">
        <v>7</v>
      </c>
      <c r="B14" s="19" t="s">
        <v>8</v>
      </c>
      <c r="C14" s="8" t="s">
        <v>87</v>
      </c>
    </row>
    <row r="15" spans="1:3" ht="7.5" customHeight="1" x14ac:dyDescent="0.2">
      <c r="A15" s="5" t="s">
        <v>110</v>
      </c>
      <c r="B15" s="19" t="s">
        <v>111</v>
      </c>
      <c r="C15" s="8" t="s">
        <v>112</v>
      </c>
    </row>
    <row r="16" spans="1:3" ht="18" customHeight="1" x14ac:dyDescent="0.2"/>
    <row r="17" spans="1:3" ht="48" customHeight="1" x14ac:dyDescent="0.2">
      <c r="A17" s="5" t="s">
        <v>88</v>
      </c>
      <c r="B17" s="19" t="s">
        <v>74</v>
      </c>
      <c r="C17" s="8"/>
    </row>
    <row r="18" spans="1:3" ht="31.5" customHeight="1" x14ac:dyDescent="0.2">
      <c r="A18" s="5" t="s">
        <v>89</v>
      </c>
      <c r="B18" s="19" t="s">
        <v>90</v>
      </c>
      <c r="C18" s="8" t="s">
        <v>91</v>
      </c>
    </row>
    <row r="19" spans="1:3" ht="42.75" customHeight="1" x14ac:dyDescent="0.2">
      <c r="A19" s="5" t="s">
        <v>92</v>
      </c>
      <c r="B19" s="19" t="s">
        <v>93</v>
      </c>
      <c r="C19" s="8" t="s">
        <v>94</v>
      </c>
    </row>
    <row r="20" spans="1:3" ht="30" customHeight="1" x14ac:dyDescent="0.2">
      <c r="A20" s="5" t="s">
        <v>95</v>
      </c>
      <c r="B20" s="19" t="s">
        <v>90</v>
      </c>
      <c r="C20" s="8" t="s">
        <v>96</v>
      </c>
    </row>
    <row r="21" spans="1:3" ht="31.5" customHeight="1" x14ac:dyDescent="0.2">
      <c r="A21" s="5" t="s">
        <v>97</v>
      </c>
      <c r="B21" s="19" t="s">
        <v>98</v>
      </c>
      <c r="C21" s="8" t="s">
        <v>99</v>
      </c>
    </row>
    <row r="22" spans="1:3" ht="37.5" customHeight="1" x14ac:dyDescent="0.2">
      <c r="A22" s="5" t="s">
        <v>100</v>
      </c>
      <c r="B22" s="19" t="s">
        <v>101</v>
      </c>
      <c r="C22" s="8" t="s">
        <v>102</v>
      </c>
    </row>
    <row r="23" spans="1:3" ht="37.5" customHeight="1" x14ac:dyDescent="0.2">
      <c r="A23" s="5" t="s">
        <v>103</v>
      </c>
      <c r="B23" s="19" t="s">
        <v>104</v>
      </c>
      <c r="C23" s="8" t="s">
        <v>105</v>
      </c>
    </row>
    <row r="24" spans="1:3" ht="7.5" customHeight="1" x14ac:dyDescent="0.2">
      <c r="A24" s="5" t="s">
        <v>106</v>
      </c>
      <c r="B24" s="19" t="s">
        <v>107</v>
      </c>
      <c r="C24" s="8" t="s">
        <v>108</v>
      </c>
    </row>
    <row r="25" spans="1:3" ht="18" customHeight="1" x14ac:dyDescent="0.2"/>
    <row r="26" spans="1:3" ht="31.5" customHeight="1" x14ac:dyDescent="0.2">
      <c r="A26" s="5" t="s">
        <v>153</v>
      </c>
      <c r="B26" s="19" t="s">
        <v>74</v>
      </c>
      <c r="C26" s="8"/>
    </row>
    <row r="27" spans="1:3" ht="27.75" customHeight="1" x14ac:dyDescent="0.2">
      <c r="A27" s="5" t="s">
        <v>130</v>
      </c>
      <c r="B27" s="19" t="s">
        <v>155</v>
      </c>
      <c r="C27" s="8" t="s">
        <v>152</v>
      </c>
    </row>
    <row r="28" spans="1:3" ht="30" customHeight="1" x14ac:dyDescent="0.2">
      <c r="A28" s="5" t="s">
        <v>131</v>
      </c>
      <c r="B28" s="19" t="s">
        <v>124</v>
      </c>
      <c r="C28" s="8" t="s">
        <v>125</v>
      </c>
    </row>
    <row r="29" spans="1:3" ht="39" customHeight="1" x14ac:dyDescent="0.2">
      <c r="A29" s="5" t="s">
        <v>132</v>
      </c>
      <c r="B29" s="19" t="s">
        <v>126</v>
      </c>
      <c r="C29" s="8" t="s">
        <v>127</v>
      </c>
    </row>
    <row r="30" spans="1:3" ht="26" x14ac:dyDescent="0.2">
      <c r="A30" s="5" t="s">
        <v>133</v>
      </c>
      <c r="B30" s="19" t="s">
        <v>128</v>
      </c>
      <c r="C30" s="8" t="s">
        <v>129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Cuadrante Anual</vt:lpstr>
      <vt:lpstr>Residentes</vt:lpstr>
      <vt:lpstr>Resumen Anual</vt:lpstr>
      <vt:lpstr>Contaje Trimestral</vt:lpstr>
      <vt:lpstr>Tercer Puesto</vt:lpstr>
      <vt:lpstr>Imaginaria</vt:lpstr>
      <vt:lpstr>Instrucciones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Enrique Montiel Miralles</cp:lastModifiedBy>
  <cp:revision>0</cp:revision>
  <dcterms:created xsi:type="dcterms:W3CDTF">2026-07-09T17:29:36Z</dcterms:created>
  <dcterms:modified xsi:type="dcterms:W3CDTF">2026-07-16T09:11:03Z</dcterms:modified>
  <dc:language>en-US</dc:language>
</cp:coreProperties>
</file>